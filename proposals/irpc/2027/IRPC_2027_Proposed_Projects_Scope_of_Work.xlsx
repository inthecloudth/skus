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62e0845d9d4c44" /></Relationships>
</file>

<file path=xl/workbook.xml><?xml version="1.0" encoding="utf-8"?>
<x:workbook xmlns:x="http://schemas.openxmlformats.org/spreadsheetml/2006/main">
  <x:sheets>
    <x:sheet xmlns:r="http://schemas.openxmlformats.org/officeDocument/2006/relationships" name="2027 projects" sheetId="2" r:id="Ra589b9d9b728411b"/>
    <x:sheet xmlns:r="http://schemas.openxmlformats.org/officeDocument/2006/relationships" name="Pricing rates" sheetId="3" r:id="R6d27a3d4e5384f8b"/>
    <x:sheet xmlns:r="http://schemas.openxmlformats.org/officeDocument/2006/relationships" name="SOW Summary" sheetId="4" r:id="Rc93edc5678204bab"/>
    <x:sheet xmlns:r="http://schemas.openxmlformats.org/officeDocument/2006/relationships" name="Scope of Work" sheetId="5" r:id="R82bf1f26fec843a6"/>
  </x:sheets>
</x:workbook>
</file>

<file path=xl/sharedStrings.xml><?xml version="1.0" encoding="utf-8"?>
<x:sst xmlns:x="http://schemas.openxmlformats.org/spreadsheetml/2006/main">
  <x:si>
    <x:t xml:space="preserve">No.</x:t>
  </x:si>
  <x:si>
    <x:t xml:space="preserve">Project</x:t>
  </x:si>
  <x:si>
    <x:t xml:space="preserve">รายละเอียด</x:t>
  </x:si>
  <x:si>
    <x:t xml:space="preserve">Area</x:t>
  </x:si>
  <x:si>
    <x:t xml:space="preserve">Workload</x:t>
  </x:si>
  <x:si>
    <x:t xml:space="preserve">Est. Days</x:t>
  </x:si>
  <x:si>
    <x:t xml:space="preserve">Est. Hours</x:t>
  </x:si>
  <x:si>
    <x:t xml:space="preserve">Cost (THB)</x:t>
  </x:si>
  <x:si>
    <x:t xml:space="preserve">Priority</x:t>
  </x:si>
  <x:si>
    <x:t xml:space="preserve">Windows Server 2016 Migration Assessment &amp; Roadmap</x:t>
  </x:si>
  <x:si>
    <x:t xml:space="preserve">Inventory และ assess Windows Server 2016 / application &amp; dependency / risk &amp; complexity / target Windows Server 2022/2025 / migration approach / migration waves / target Windows Server baseline / recommended migration roadmap</x:t>
  </x:si>
  <x:si>
    <x:t xml:space="preserve">Infrastructure Modernization</x:t>
  </x:si>
  <x:si>
    <x:t xml:space="preserve">Windows Server / Applications</x:t>
  </x:si>
  <x:si>
    <x:t xml:space="preserve">Windows Server 2016 Migration Implementation</x:t>
  </x:si>
  <x:si>
    <x:t xml:space="preserve">Pilot migration / migration by agreed waves / validation / cutover / issue remediation / decommission legacy servers</x:t>
  </x:si>
  <x:si>
    <x:t xml:space="preserve">TBD by server/workload</x:t>
  </x:si>
  <x:si>
    <x:t xml:space="preserve">TBD</x:t>
  </x:si>
  <x:si>
    <x:t xml:space="preserve">Service Account Security Assessment &amp; Remediation</x:t>
  </x:si>
  <x:si>
    <x:t xml:space="preserve">Discover service accounts / identify owner &amp; usage / risk and privilege review / identify insecure configuration / prioritize remediation / implement agreed remediation / validation / gMSA or alternative where appropriate</x:t>
  </x:si>
  <x:si>
    <x:t xml:space="preserve">Identity Security</x:t>
  </x:si>
  <x:si>
    <x:t xml:space="preserve">AD DS / Silverfort / Windows</x:t>
  </x:si>
  <x:si>
    <x:t xml:space="preserve">Linux Platform Management, Standardization &amp; Security</x:t>
  </x:si>
  <x:si>
    <x:t xml:space="preserve">Establish Linux standard build / SSH &amp; sudo / identity / patching / EDR / logging / monitoring / backup / hardening baseline / operational standard / implement and validate reference configuration</x:t>
  </x:si>
  <x:si>
    <x:t xml:space="preserve">Infrastructure / Security</x:t>
  </x:si>
  <x:si>
    <x:t xml:space="preserve">Linux</x:t>
  </x:si>
  <x:si>
    <x:t xml:space="preserve">AWS Identity &amp; Access Governance and Security Baseline</x:t>
  </x:si>
  <x:si>
    <x:t xml:space="preserve">Establish IAM standard / federation / IAM Identity Center / roles / permission sets / SCP / MFA / break-glass / access review / operational governance / implement agreed priority controls</x:t>
  </x:si>
  <x:si>
    <x:t xml:space="preserve">Cloud / Identity Security</x:t>
  </x:si>
  <x:si>
    <x:t xml:space="preserve">AWS IAM / IAM Identity Center</x:t>
  </x:si>
  <x:si>
    <x:t xml:space="preserve">Microsoft 365 Security Baseline &amp; Secure Score Improvement</x:t>
  </x:si>
  <x:si>
    <x:t xml:space="preserve">Assess tenant configuration / establish security baseline / prioritize security gaps / implement agreed remediation / validate configuration / maintain exception register / target Secure Score 75–80% as KPI</x:t>
  </x:si>
  <x:si>
    <x:t xml:space="preserve">Microsoft 365 Security</x:t>
  </x:si>
  <x:si>
    <x:t xml:space="preserve">Entra / Exchange / SharePoint / Teams / Defender</x:t>
  </x:si>
  <x:si>
    <x:t xml:space="preserve">Microsoft 365 Zero Trust – Regulatory &amp; Compliance Readiness (Swim lane 5)</x:t>
  </x:si>
  <x:si>
    <x:t xml:space="preserve">Compliance gap assessment / information protection / retention / audit / records / eDiscovery / identify required controls / implement agreed priority controls / remaining remediation roadmap</x:t>
  </x:si>
  <x:si>
    <x:t xml:space="preserve">Data Security / Compliance</x:t>
  </x:si>
  <x:si>
    <x:t xml:space="preserve">Microsoft Purview / Microsoft 365</x:t>
  </x:si>
  <x:si>
    <x:t xml:space="preserve">Microsoft 365 Zero Trust – Secure AI Apps &amp; Data (Swim lane 4)</x:t>
  </x:si>
  <x:si>
    <x:t xml:space="preserve">Assess Copilot/AI usage and risks / enterprise &amp; OAuth apps / data exposure / DLP / sensitivity labels / AI data governance / implement and validate agreed priority controls</x:t>
  </x:si>
  <x:si>
    <x:t xml:space="preserve">AI / Data Security</x:t>
  </x:si>
  <x:si>
    <x:t xml:space="preserve">Entra / Purview / Defender for Cloud Apps / M365 Copilot</x:t>
  </x:si>
  <x:si>
    <x:t xml:space="preserve">Enterprise MCP Server Implementation &amp; Integration</x:t>
  </x:si>
  <x:si>
    <x:t xml:space="preserve">Design และ implement MCP Server / เชื่อมต่อ enterprise APIs หรือ data sources / สร้าง MCP tools / authentication &amp; authorization / secrets management / logging / deployment / functional &amp; security validation</x:t>
  </x:si>
  <x:si>
    <x:t xml:space="preserve">AI / Integration Platform</x:t>
  </x:si>
  <x:si>
    <x:t xml:space="preserve">MCP / APIs / Entra ID / Azure or On-premises</x:t>
  </x:si>
  <x:si>
    <x:t xml:space="preserve">Professional Support</x:t>
  </x:si>
  <x:si>
    <x:t xml:space="preserve">Architecture &amp; design review / troubleshooting / configuration review / security advisory / change support / health checks / technical guidance / knowledge transfer</x:t>
  </x:si>
  <x:si>
    <x:t xml:space="preserve">Operations / Security</x:t>
  </x:si>
  <x:si>
    <x:t xml:space="preserve">AD / Windows / Linux / M365 / Azure / AWS</x:t>
  </x:si>
  <x:si>
    <x:t xml:space="preserve">Fixed Project Effort</x:t>
  </x:si>
  <x:si>
    <x:t xml:space="preserve">100 hrs</x:t>
  </x:si>
  <x:si>
    <x:t xml:space="preserve">Total Fixed Scope</x:t>
  </x:si>
  <x:si>
    <x:t xml:space="preserve">Item</x:t>
  </x:si>
  <x:si>
    <x:t xml:space="preserve">Rate</x:t>
  </x:si>
  <x:si>
    <x:t xml:space="preserve">Professional Service / Man-day</x:t>
  </x:si>
  <x:si>
    <x:t xml:space="preserve">20,000 THB / day</x:t>
  </x:si>
  <x:si>
    <x:t xml:space="preserve">Standard Working Day</x:t>
  </x:si>
  <x:si>
    <x:t xml:space="preserve">8 hours</x:t>
  </x:si>
  <x:si>
    <x:t xml:space="preserve">Professional Service / Man-hour</x:t>
  </x:si>
  <x:si>
    <x:t xml:space="preserve">2,500 THB / hour</x:t>
  </x:si>
  <x:si>
    <x:t xml:space="preserve">TBD based on server count and workload complexity</x:t>
  </x:si>
</x:sst>
</file>

<file path=xl/styles.xml><?xml version="1.0" encoding="utf-8"?>
<x:styleSheet xmlns:x="http://schemas.openxmlformats.org/spreadsheetml/2006/main">
  <x:numFmts count="4">
    <x:numFmt numFmtId="164" formatCode="#,##0;[Red]\-#,##0;\-"/>
    <x:numFmt numFmtId="200" formatCode="#,##0;[Red](#,##0);–"/>
    <x:numFmt numFmtId="201" formatCode="0.##"/>
    <x:numFmt numFmtId="202" formatCode="General"/>
  </x:numFmts>
  <x:fonts count="7">
    <x:font>
      <x:sz val="11"/>
      <x:color theme="1"/>
      <x:name val="Aptos Narrow"/>
    </x:font>
    <x:font>
      <x:sz val="10"/>
      <x:color theme="1"/>
      <x:name val="Tahoma"/>
    </x:font>
    <x:font>
      <x:b/>
      <x:sz val="11"/>
      <x:color rgb="FFFFFFFF"/>
      <x:name val="Aptos Narrow"/>
    </x:font>
    <x:font>
      <x:sz val="11"/>
      <x:color rgb="FF5D6979"/>
      <x:name val="Aptos Narrow"/>
    </x:font>
    <x:font>
      <x:b/>
      <x:sz val="11"/>
      <x:color rgb="FF183153"/>
      <x:name val="Aptos Narrow"/>
    </x:font>
    <x:font>
      <x:b/>
      <x:sz val="11"/>
      <x:color rgb="FF1F2937"/>
      <x:name val="Aptos Narrow"/>
    </x:font>
    <x:font>
      <x:sz val="11"/>
      <x:color rgb="FF1F2937"/>
      <x:name val="Aptos Narrow"/>
    </x:font>
  </x:fonts>
  <x:fills count="9">
    <x:fill>
      <x:patternFill patternType="none"/>
    </x:fill>
    <x:fill>
      <x:patternFill patternType="gray125"/>
    </x:fill>
    <x:fill>
      <x:patternFill patternType="solid">
        <x:fgColor rgb="FF183153"/>
      </x:patternFill>
    </x:fill>
    <x:fill>
      <x:patternFill patternType="solid">
        <x:fgColor rgb="FFEAF1F7"/>
      </x:patternFill>
    </x:fill>
    <x:fill>
      <x:patternFill patternType="solid">
        <x:fgColor rgb="FF245A81"/>
      </x:patternFill>
    </x:fill>
    <x:fill>
      <x:patternFill patternType="solid">
        <x:fgColor rgb="FFF5F8FB"/>
      </x:patternFill>
    </x:fill>
    <x:fill>
      <x:patternFill patternType="solid">
        <x:fgColor rgb="FFFFFFFF"/>
      </x:patternFill>
    </x:fill>
    <x:fill>
      <x:patternFill patternType="solid">
        <x:fgColor rgb="FFF2F4F6"/>
      </x:patternFill>
    </x:fill>
    <x:fill>
      <x:patternFill patternType="solid">
        <x:fgColor rgb="FFDCEAF4"/>
      </x:patternFill>
    </x:fill>
  </x:fills>
  <x:borders count="2">
    <x:border/>
    <x:border/>
  </x:borders>
  <x:cellStyleXfs count="1">
    <x:xf numFmtId="0" fontId="0" fillId="0" borderId="0"/>
  </x:cellStyleXfs>
  <x:cellXfs count="138">
    <x:xf numFmtId="0" fontId="0" fillId="0" borderId="0" xfId="0"/>
    <x:xf numFmtId="0" fontId="1" fillId="0" borderId="0" xfId="0" applyFont="1" applyAlignment="1">
      <x:alignment horizontal="center" vertical="center" wrapText="1"/>
    </x:xf>
    <x:xf numFmtId="0" fontId="1" fillId="0" borderId="0" xfId="0" applyFont="1"/>
    <x:xf numFmtId="0" fontId="1" fillId="0" borderId="0" xfId="0" applyFont="1" applyAlignment="1">
      <x:alignment vertical="center" wrapText="1"/>
    </x:xf>
    <x:xf numFmtId="0" fontId="1" fillId="0" borderId="0" xfId="0" applyFont="1" applyAlignment="1">
      <x:alignment horizontal="center"/>
    </x:xf>
    <x:xf numFmtId="0" fontId="1" fillId="0" borderId="0" xfId="0" applyFont="1" applyAlignment="1">
      <x:alignment horizontal="left" vertical="center" wrapText="1"/>
    </x:xf>
    <x:xf numFmtId="0" fontId="1" fillId="0" borderId="0" xfId="0" applyFont="1" applyAlignment="1">
      <x:alignment horizontal="left"/>
    </x:xf>
    <x:xf numFmtId="0" fontId="1" fillId="0" borderId="0" xfId="0" applyFont="1" applyAlignment="1">
      <x:alignment horizontal="right" vertical="center" wrapText="1"/>
    </x:xf>
    <x:xf numFmtId="164" fontId="1" fillId="0" borderId="0" xfId="0" applyNumberFormat="1" applyFont="1" applyAlignment="1">
      <x:alignment horizontal="center" vertical="center" wrapText="1"/>
    </x:xf>
    <x:xf numFmtId="0" fontId="0" fillId="0" borderId="1" xfId="0" applyNumberFormat="1" applyFont="1" applyFill="1" applyBorder="1"/>
    <x:xf numFmtId="0" fontId="1" fillId="0" borderId="1" xfId="0" applyNumberFormat="1" applyFont="1" applyFill="1" applyBorder="1" applyAlignment="1">
      <x:alignment horizontal="center" vertical="center" wrapText="1"/>
    </x:xf>
    <x:xf numFmtId="0" fontId="1" fillId="0" borderId="1" xfId="0" applyNumberFormat="1" applyFont="1" applyFill="1" applyBorder="1"/>
    <x:xf numFmtId="0" fontId="1" fillId="0" borderId="1" xfId="0" applyNumberFormat="1" applyFont="1" applyFill="1" applyBorder="1" applyAlignment="1">
      <x:alignment vertical="center" wrapText="1"/>
    </x:xf>
    <x:xf numFmtId="0" fontId="1" fillId="0" borderId="1" xfId="0" applyNumberFormat="1" applyFont="1" applyFill="1" applyBorder="1" applyAlignment="1">
      <x:alignment horizontal="center"/>
    </x:xf>
    <x:xf numFmtId="0" fontId="1" fillId="0" borderId="1" xfId="0" applyNumberFormat="1" applyFont="1" applyFill="1" applyBorder="1" applyAlignment="1">
      <x:alignment horizontal="left" vertical="center" wrapText="1"/>
    </x:xf>
    <x:xf numFmtId="0" fontId="1" fillId="0" borderId="1" xfId="0" applyNumberFormat="1" applyFont="1" applyFill="1" applyBorder="1" applyAlignment="1">
      <x:alignment horizontal="left"/>
    </x:xf>
    <x:xf numFmtId="0" fontId="1" fillId="0" borderId="1" xfId="0" applyNumberFormat="1" applyFont="1" applyFill="1" applyBorder="1" applyAlignment="1">
      <x:alignment horizontal="right" vertical="center" wrapText="1"/>
    </x:xf>
    <x:xf numFmtId="164" fontId="1" fillId="0" borderId="1" xfId="0" applyNumberFormat="1" applyFont="1" applyFill="1" applyBorder="1" applyAlignment="1">
      <x:alignment horizontal="center" vertical="center" wrapText="1"/>
    </x:xf>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0" fillId="2"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vertical="center"/>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vertical="center"/>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horizontal="center" wrapText="1"/>
    </x:xf>
    <x:xf numFmtId="0" fontId="2" fillId="4" borderId="0" xfId="0" applyNumberFormat="1" applyFont="1" applyFill="1" applyBorder="1" applyAlignment="1">
      <x:alignment horizontal="center" vertical="center" wrapText="1"/>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wrapText="1"/>
    </x:xf>
    <x:xf numFmtId="0" fontId="2" fillId="4" borderId="1" xfId="0" applyNumberFormat="1" applyFont="1" applyFill="1" applyBorder="1" applyAlignment="1">
      <x:alignment horizontal="center" wrapText="1"/>
    </x:xf>
    <x:xf numFmtId="0" fontId="2"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5" borderId="0"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0" fontId="0" fillId="0" borderId="0" xfId="0" applyNumberFormat="1" applyFont="1" applyFill="1" applyBorder="1" applyAlignment="1">
      <x:alignment horizontal="center" vertical="center" wrapText="1"/>
    </x:xf>
    <x:xf numFmtId="0" fontId="0" fillId="5" borderId="0" xfId="0" applyNumberFormat="1" applyFont="1" applyFill="1" applyBorder="1" applyAlignment="1">
      <x:alignment horizontal="center" vertical="center" wrapText="1"/>
    </x:xf>
    <x:xf numFmtId="0" fontId="0" fillId="0" borderId="1" xfId="0" applyNumberFormat="1" applyFont="1" applyFill="1" applyBorder="1" applyAlignment="1">
      <x:alignment horizontal="center" vertical="center" wrapText="1"/>
    </x:xf>
    <x:xf numFmtId="0" fontId="0" fillId="5" borderId="1" xfId="0" applyNumberFormat="1" applyFont="1" applyFill="1" applyBorder="1" applyAlignment="1">
      <x:alignment horizontal="center" vertical="center" wrapText="1"/>
    </x:xf>
    <x:xf numFmtId="200" fontId="0" fillId="0" borderId="0" xfId="0" applyNumberFormat="1" applyFont="1" applyFill="1" applyBorder="1" applyAlignment="1">
      <x:alignment horizontal="center" vertical="center" wrapText="1"/>
    </x:xf>
    <x:xf numFmtId="200" fontId="0" fillId="5" borderId="0"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applyAlignment="1">
      <x:alignment horizontal="center" vertical="center" wrapText="1"/>
    </x:xf>
    <x:xf numFmtId="200" fontId="0" fillId="5" borderId="1" xfId="0" applyNumberFormat="1" applyFont="1" applyFill="1" applyBorder="1" applyAlignment="1">
      <x:alignment horizontal="center" vertical="center" wrapText="1"/>
    </x:xf>
    <x:xf numFmtId="200" fontId="0" fillId="0" borderId="1" xfId="0" applyNumberFormat="1" applyFont="1" applyFill="1" applyBorder="1"/>
    <x:xf numFmtId="201" fontId="0" fillId="0" borderId="0" xfId="0" applyNumberFormat="1" applyFont="1" applyFill="1" applyBorder="1" applyAlignment="1">
      <x:alignment horizontal="center" vertical="center" wrapText="1"/>
    </x:xf>
    <x:xf numFmtId="201" fontId="0" fillId="5" borderId="0" xfId="0" applyNumberFormat="1" applyFont="1" applyFill="1" applyBorder="1" applyAlignment="1">
      <x:alignment horizontal="center" vertical="center" wrapText="1"/>
    </x:xf>
    <x:xf numFmtId="201" fontId="0" fillId="0" borderId="0" xfId="0" applyNumberFormat="1" applyFont="1" applyFill="1" applyBorder="1"/>
    <x:xf numFmtId="201" fontId="0" fillId="0" borderId="1" xfId="0" applyNumberFormat="1" applyFont="1" applyFill="1" applyBorder="1" applyAlignment="1">
      <x:alignment horizontal="center" vertical="center" wrapText="1"/>
    </x:xf>
    <x:xf numFmtId="201" fontId="0" fillId="5" borderId="1" xfId="0" applyNumberFormat="1" applyFont="1" applyFill="1" applyBorder="1" applyAlignment="1">
      <x:alignment horizontal="center" vertical="center" wrapText="1"/>
    </x:xf>
    <x:xf numFmtId="201" fontId="0" fillId="0" borderId="1" xfId="0" applyNumberFormat="1" applyFont="1" applyFill="1" applyBorder="1"/>
    <x:xf numFmtId="201" fontId="0" fillId="2" borderId="0" xfId="0" applyNumberFormat="1" applyFont="1" applyFill="1" applyBorder="1"/>
    <x:xf numFmtId="200" fontId="0" fillId="2" borderId="0" xfId="0" applyNumberFormat="1" applyFont="1" applyFill="1" applyBorder="1"/>
    <x:xf numFmtId="201" fontId="2" fillId="2" borderId="0" xfId="0" applyNumberFormat="1" applyFont="1" applyFill="1" applyBorder="1"/>
    <x:xf numFmtId="200" fontId="2" fillId="2" borderId="0" xfId="0" applyNumberFormat="1" applyFont="1" applyFill="1" applyBorder="1"/>
    <x:xf numFmtId="201" fontId="2" fillId="2" borderId="0" xfId="0" applyNumberFormat="1" applyFont="1" applyFill="1" applyBorder="1" applyAlignment="1">
      <x:alignment vertical="center"/>
    </x:xf>
    <x:xf numFmtId="200" fontId="2" fillId="2" borderId="0" xfId="0" applyNumberFormat="1" applyFont="1" applyFill="1" applyBorder="1" applyAlignment="1">
      <x:alignment vertical="center"/>
    </x:xf>
    <x:xf numFmtId="201" fontId="0" fillId="2" borderId="1" xfId="0" applyNumberFormat="1" applyFont="1" applyFill="1" applyBorder="1"/>
    <x:xf numFmtId="200" fontId="0" fillId="2" borderId="1" xfId="0" applyNumberFormat="1" applyFont="1" applyFill="1" applyBorder="1"/>
    <x:xf numFmtId="201" fontId="2" fillId="2" borderId="1" xfId="0" applyNumberFormat="1" applyFont="1" applyFill="1" applyBorder="1"/>
    <x:xf numFmtId="200" fontId="2" fillId="2" borderId="1" xfId="0" applyNumberFormat="1" applyFont="1" applyFill="1" applyBorder="1"/>
    <x:xf numFmtId="201" fontId="2" fillId="2" borderId="1" xfId="0" applyNumberFormat="1" applyFont="1" applyFill="1" applyBorder="1" applyAlignment="1">
      <x:alignment vertical="center"/>
    </x:xf>
    <x:xf numFmtId="200" fontId="2" fillId="2" borderId="1" xfId="0" applyNumberFormat="1" applyFont="1" applyFill="1" applyBorder="1" applyAlignment="1">
      <x:alignment vertical="center"/>
    </x:xf>
    <x:xf numFmtId="0" fontId="4" fillId="3" borderId="0" xfId="0" applyNumberFormat="1" applyFont="1" applyFill="1" applyBorder="1"/>
    <x:xf numFmtId="0" fontId="4" fillId="3" borderId="1" xfId="0" applyNumberFormat="1" applyFont="1" applyFill="1" applyBorder="1"/>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center" wrapText="1"/>
    </x:xf>
    <x:xf numFmtId="0" fontId="0" fillId="6" borderId="1" xfId="0" applyNumberFormat="1" applyFont="1" applyFill="1" applyBorder="1"/>
    <x:xf numFmtId="0" fontId="0" fillId="6" borderId="1" xfId="0" applyNumberFormat="1" applyFont="1" applyFill="1" applyBorder="1" applyAlignment="1">
      <x:alignment wrapText="1"/>
    </x:xf>
    <x:xf numFmtId="0" fontId="0" fillId="6" borderId="1" xfId="0" applyNumberFormat="1" applyFont="1" applyFill="1" applyBorder="1" applyAlignment="1">
      <x:alignment vertical="center" wrapText="1"/>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1" xfId="0" applyNumberFormat="1" applyFont="1" applyFill="1" applyBorder="1"/>
    <x:xf numFmtId="0" fontId="0" fillId="5" borderId="1" xfId="0" applyNumberFormat="1" applyFont="1" applyFill="1" applyBorder="1" applyAlignment="1">
      <x:alignment wrapText="1"/>
    </x:xf>
    <x:xf numFmtId="0" fontId="3" fillId="6" borderId="0" xfId="0" applyNumberFormat="1" applyFont="1" applyFill="1" applyBorder="1"/>
    <x:xf numFmtId="0" fontId="3" fillId="6" borderId="0" xfId="0" applyNumberFormat="1" applyFont="1" applyFill="1" applyBorder="1" applyAlignment="1">
      <x:alignment vertical="center"/>
    </x:xf>
    <x:xf numFmtId="0" fontId="3" fillId="6" borderId="1" xfId="0" applyNumberFormat="1" applyFont="1" applyFill="1" applyBorder="1"/>
    <x:xf numFmtId="0" fontId="3" fillId="6" borderId="1" xfId="0" applyNumberFormat="1" applyFont="1" applyFill="1" applyBorder="1" applyAlignment="1">
      <x:alignment vertical="center"/>
    </x:xf>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2" fillId="2" borderId="1" xfId="0" applyNumberFormat="1" applyFont="1" applyFill="1" applyBorder="1" applyAlignment="1">
      <x:alignment wrapText="1"/>
    </x:xf>
    <x:xf numFmtId="0" fontId="2" fillId="2" borderId="1" xfId="0" applyNumberFormat="1" applyFont="1" applyFill="1" applyBorder="1" applyAlignment="1">
      <x:alignment vertical="center" wrapText="1"/>
    </x:xf>
    <x:xf numFmtId="0" fontId="5" fillId="3" borderId="0" xfId="0" applyNumberFormat="1" applyFont="1" applyFill="1" applyBorder="1"/>
    <x:xf numFmtId="0" fontId="5" fillId="3" borderId="0" xfId="0" applyNumberFormat="1" applyFont="1" applyFill="1" applyBorder="1" applyAlignment="1">
      <x:alignment vertical="center"/>
    </x:xf>
    <x:xf numFmtId="0" fontId="5" fillId="3" borderId="1" xfId="0" applyNumberFormat="1" applyFont="1" applyFill="1" applyBorder="1"/>
    <x:xf numFmtId="0" fontId="5" fillId="3" borderId="1" xfId="0" applyNumberFormat="1" applyFont="1" applyFill="1" applyBorder="1" applyAlignment="1">
      <x:alignment vertical="center"/>
    </x:xf>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vertical="center"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vertic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vertical="center"/>
    </x:xf>
    <x:xf numFmtId="0" fontId="3" fillId="6" borderId="0" xfId="0" applyNumberFormat="1" applyFont="1" applyFill="1" applyBorder="1" applyAlignment="1">
      <x:alignment wrapText="1"/>
    </x:xf>
    <x:xf numFmtId="0" fontId="3" fillId="6" borderId="0" xfId="0" applyNumberFormat="1" applyFont="1" applyFill="1" applyBorder="1" applyAlignment="1">
      <x:alignment vertical="center" wrapText="1"/>
    </x:xf>
    <x:xf numFmtId="0" fontId="3" fillId="6" borderId="1" xfId="0" applyNumberFormat="1" applyFont="1" applyFill="1" applyBorder="1" applyAlignment="1">
      <x:alignment wrapText="1"/>
    </x:xf>
    <x:xf numFmtId="0" fontId="3" fillId="6" borderId="1" xfId="0" applyNumberFormat="1" applyFont="1" applyFill="1" applyBorder="1" applyAlignment="1">
      <x:alignment vertical="center" wrapText="1"/>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vertical="center"/>
    </x:xf>
    <x:xf numFmtId="0" fontId="0" fillId="8" borderId="1" xfId="0" applyNumberFormat="1" applyFont="1" applyFill="1" applyBorder="1"/>
    <x:xf numFmtId="0" fontId="4" fillId="8" borderId="1" xfId="0" applyNumberFormat="1" applyFont="1" applyFill="1" applyBorder="1"/>
    <x:xf numFmtId="0" fontId="4" fillId="8" borderId="1" xfId="0" applyNumberFormat="1" applyFont="1" applyFill="1" applyBorder="1" applyAlignment="1">
      <x:alignment vertical="center"/>
    </x:xf>
    <x:xf numFmtId="0" fontId="2" fillId="4" borderId="0" xfId="0" applyNumberFormat="1" applyFont="1" applyFill="1" applyBorder="1" applyAlignment="1">
      <x:alignment vertical="center" wrapText="1"/>
    </x:xf>
    <x:xf numFmtId="0" fontId="2" fillId="4" borderId="1" xfId="0" applyNumberFormat="1" applyFont="1" applyFill="1" applyBorder="1" applyAlignment="1">
      <x:alignment vertical="center" wrapText="1"/>
    </x:xf>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0" xfId="0" applyNumberFormat="1" applyFont="1" applyFill="1" applyBorder="1" applyAlignment="1">
      <x:alignment vertical="center" wrapText="1"/>
    </x:xf>
    <x:xf numFmtId="0" fontId="6" fillId="5" borderId="1" xfId="0" applyNumberFormat="1" applyFont="1" applyFill="1" applyBorder="1"/>
    <x:xf numFmtId="0" fontId="6" fillId="5" borderId="1" xfId="0" applyNumberFormat="1" applyFont="1" applyFill="1" applyBorder="1" applyAlignment="1">
      <x:alignment wrapText="1"/>
    </x:xf>
    <x:xf numFmtId="0" fontId="6" fillId="5" borderId="1" xfId="0" applyNumberFormat="1" applyFont="1" applyFill="1" applyBorder="1" applyAlignment="1">
      <x:alignment vertical="center" wrapText="1"/>
    </x:xf>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center" wrapText="1"/>
    </x:xf>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vertical="center" wrapText="1"/>
    </x:xf>
    <x:xf numFmtId="202" fontId="0" fillId="0" borderId="0" xfId="0" applyNumberFormat="1" applyFont="1" applyFill="1" applyBorder="1" applyAlignment="1">
      <x:alignment horizontal="center" vertical="center" wrapText="1"/>
    </x:xf>
    <x:xf numFmtId="202" fontId="0" fillId="5" borderId="0" xfId="0" applyNumberFormat="1" applyFont="1" applyFill="1" applyBorder="1" applyAlignment="1">
      <x:alignment horizontal="center" vertical="center" wrapText="1"/>
    </x:xf>
    <x:xf numFmtId="202" fontId="0" fillId="0" borderId="0" xfId="0" applyNumberFormat="1" applyFont="1" applyFill="1" applyBorder="1"/>
    <x:xf numFmtId="202" fontId="2" fillId="2"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4f633c8546948cf" /><Relationship Type="http://schemas.openxmlformats.org/officeDocument/2006/relationships/theme" Target="/xl/theme/theme1.xml" Id="R9ad8dda74d4e4862" /><Relationship Type="http://schemas.openxmlformats.org/officeDocument/2006/relationships/sharedStrings" Target="/xl/sharedStrings.xml" Id="Rf829981e708f479e" /><Relationship Type="http://schemas.openxmlformats.org/officeDocument/2006/relationships/worksheet" Target="/xl/worksheets/sheet1.xml" Id="Ra589b9d9b728411b" /><Relationship Type="http://schemas.openxmlformats.org/officeDocument/2006/relationships/worksheet" Target="/xl/worksheets/sheet2.xml" Id="R6d27a3d4e5384f8b" /><Relationship Type="http://schemas.openxmlformats.org/officeDocument/2006/relationships/worksheet" Target="/xl/worksheets/sheet3.xml" Id="Rc93edc5678204bab" /><Relationship Type="http://schemas.openxmlformats.org/officeDocument/2006/relationships/worksheet" Target="/xl/worksheets/sheet4.xml" Id="R82bf1f26fec843a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2.75"/>
  <x:cols>
    <x:col min="1" max="1" width="5.625" style="4" customWidth="1"/>
    <x:col min="2" max="2" width="50.625" style="2" customWidth="1"/>
    <x:col min="3" max="3" width="75.625" style="2" customWidth="1"/>
    <x:col min="4" max="5" width="20.625" style="6" customWidth="1"/>
    <x:col min="6" max="7" width="10.625" style="4" customWidth="1"/>
    <x:col min="8" max="8" width="10.125" style="4" customWidth="1"/>
    <x:col min="9" max="9" width="10.625" style="4" customWidth="1"/>
    <x:col min="10" max="16384" width="9" style="2" customWidth="0"/>
  </x:cols>
  <x:sheetData>
    <x:row r="1" s="4" customFormat="1">
      <x:c r="A1" s="1" t="s">
        <x:v>0</x:v>
      </x:c>
      <x:c r="B1" s="1" t="s">
        <x:v>1</x:v>
      </x:c>
      <x:c r="C1" s="1" t="s">
        <x:v>2</x:v>
      </x:c>
      <x:c r="D1" s="1" t="s">
        <x:v>3</x:v>
      </x:c>
      <x:c r="E1" s="1" t="s">
        <x:v>4</x:v>
      </x:c>
      <x:c r="F1" s="1" t="s">
        <x:v>5</x:v>
      </x:c>
      <x:c r="G1" s="1" t="s">
        <x:v>6</x:v>
      </x:c>
      <x:c r="H1" s="1" t="s">
        <x:v>7</x:v>
      </x:c>
      <x:c r="I1" s="1" t="s">
        <x:v>8</x:v>
      </x:c>
    </x:row>
    <x:row r="2" ht="38.25">
      <x:c r="A2" s="1">
        <x:v>1</x:v>
      </x:c>
      <x:c r="B2" s="3" t="s">
        <x:v>9</x:v>
      </x:c>
      <x:c r="C2" s="3" t="s">
        <x:v>10</x:v>
      </x:c>
      <x:c r="D2" s="5" t="s">
        <x:v>11</x:v>
      </x:c>
      <x:c r="E2" s="5" t="s">
        <x:v>12</x:v>
      </x:c>
      <x:c r="F2" s="1">
        <x:v>6</x:v>
      </x:c>
      <x:c r="G2" s="1"/>
      <x:c r="H2" s="8" t="n">
        <x:f>IF(ISNUMBER(F2),F2*VALUE(SUBSTITUTE(LEFT('Pricing rates'!$B$2,FIND(" THB",'Pricing rates'!$B$2)-1),",","")),IF(ISNUMBER(G2),G2*VALUE(SUBSTITUTE(LEFT('Pricing rates'!$B$4,FIND(" THB",'Pricing rates'!$B$4)-1),",","")),"TBD"))</x:f>
        <x:v>120000</x:v>
      </x:c>
      <x:c r="I2" s="1">
        <x:v>5</x:v>
      </x:c>
    </x:row>
    <x:row r="3" ht="38.25">
      <x:c r="A3" s="1">
        <x:v>2</x:v>
      </x:c>
      <x:c r="B3" s="3" t="s">
        <x:v>13</x:v>
      </x:c>
      <x:c r="C3" s="3" t="s">
        <x:v>14</x:v>
      </x:c>
      <x:c r="D3" s="5" t="s">
        <x:v>11</x:v>
      </x:c>
      <x:c r="E3" s="5" t="s">
        <x:v>12</x:v>
      </x:c>
      <x:c r="F3" s="1" t="s">
        <x:v>15</x:v>
      </x:c>
      <x:c r="G3" s="1" t="s">
        <x:v>16</x:v>
      </x:c>
      <x:c r="H3" s="8" t="str">
        <x:f>IF(ISNUMBER(F3),F3*VALUE(SUBSTITUTE(LEFT('Pricing rates'!$B$2,FIND(" THB",'Pricing rates'!$B$2)-1),",","")),IF(ISNUMBER(G3),G3*VALUE(SUBSTITUTE(LEFT('Pricing rates'!$B$4,FIND(" THB",'Pricing rates'!$B$4)-1),",","")),"TBD"))</x:f>
        <x:v>TBD</x:v>
      </x:c>
      <x:c r="I3" s="1">
        <x:v>5</x:v>
      </x:c>
    </x:row>
    <x:row r="4" ht="38.25">
      <x:c r="A4" s="1">
        <x:v>3</x:v>
      </x:c>
      <x:c r="B4" s="3" t="s">
        <x:v>17</x:v>
      </x:c>
      <x:c r="C4" s="3" t="s">
        <x:v>18</x:v>
      </x:c>
      <x:c r="D4" s="5" t="s">
        <x:v>19</x:v>
      </x:c>
      <x:c r="E4" s="5" t="s">
        <x:v>20</x:v>
      </x:c>
      <x:c r="F4" s="1">
        <x:v>6</x:v>
      </x:c>
      <x:c r="G4" s="1"/>
      <x:c r="H4" s="8" t="n">
        <x:f>IF(ISNUMBER(F4),F4*VALUE(SUBSTITUTE(LEFT('Pricing rates'!$B$2,FIND(" THB",'Pricing rates'!$B$2)-1),",","")),IF(ISNUMBER(G4),G4*VALUE(SUBSTITUTE(LEFT('Pricing rates'!$B$4,FIND(" THB",'Pricing rates'!$B$4)-1),",","")),"TBD"))</x:f>
        <x:v>120000</x:v>
      </x:c>
      <x:c r="I4" s="1">
        <x:v>5</x:v>
      </x:c>
    </x:row>
    <x:row r="5" ht="25.5">
      <x:c r="A5" s="1">
        <x:v>4</x:v>
      </x:c>
      <x:c r="B5" s="3" t="s">
        <x:v>21</x:v>
      </x:c>
      <x:c r="C5" s="3" t="s">
        <x:v>22</x:v>
      </x:c>
      <x:c r="D5" s="5" t="s">
        <x:v>23</x:v>
      </x:c>
      <x:c r="E5" s="5" t="s">
        <x:v>24</x:v>
      </x:c>
      <x:c r="F5" s="1">
        <x:v>7.5</x:v>
      </x:c>
      <x:c r="G5" s="1"/>
      <x:c r="H5" s="8" t="n">
        <x:f>IF(ISNUMBER(F5),F5*VALUE(SUBSTITUTE(LEFT('Pricing rates'!$B$2,FIND(" THB",'Pricing rates'!$B$2)-1),",","")),IF(ISNUMBER(G5),G5*VALUE(SUBSTITUTE(LEFT('Pricing rates'!$B$4,FIND(" THB",'Pricing rates'!$B$4)-1),",","")),"TBD"))</x:f>
        <x:v>150000</x:v>
      </x:c>
      <x:c r="I5" s="1">
        <x:v>5</x:v>
      </x:c>
    </x:row>
    <x:row r="6" ht="25.5">
      <x:c r="A6" s="1">
        <x:v>5</x:v>
      </x:c>
      <x:c r="B6" s="3" t="s">
        <x:v>25</x:v>
      </x:c>
      <x:c r="C6" s="3" t="s">
        <x:v>26</x:v>
      </x:c>
      <x:c r="D6" s="5" t="s">
        <x:v>27</x:v>
      </x:c>
      <x:c r="E6" s="5" t="s">
        <x:v>28</x:v>
      </x:c>
      <x:c r="F6" s="1">
        <x:v>6</x:v>
      </x:c>
      <x:c r="G6" s="1"/>
      <x:c r="H6" s="8" t="n">
        <x:f>IF(ISNUMBER(F6),F6*VALUE(SUBSTITUTE(LEFT('Pricing rates'!$B$2,FIND(" THB",'Pricing rates'!$B$2)-1),",","")),IF(ISNUMBER(G6),G6*VALUE(SUBSTITUTE(LEFT('Pricing rates'!$B$4,FIND(" THB",'Pricing rates'!$B$4)-1),",","")),"TBD"))</x:f>
        <x:v>120000</x:v>
      </x:c>
      <x:c r="I6" s="1">
        <x:v>4</x:v>
      </x:c>
    </x:row>
    <x:row r="7" ht="38.25">
      <x:c r="A7" s="1">
        <x:v>6</x:v>
      </x:c>
      <x:c r="B7" s="3" t="s">
        <x:v>29</x:v>
      </x:c>
      <x:c r="C7" s="3" t="s">
        <x:v>30</x:v>
      </x:c>
      <x:c r="D7" s="5" t="s">
        <x:v>31</x:v>
      </x:c>
      <x:c r="E7" s="5" t="s">
        <x:v>32</x:v>
      </x:c>
      <x:c r="F7" s="1">
        <x:v>5</x:v>
      </x:c>
      <x:c r="G7" s="1"/>
      <x:c r="H7" s="8" t="n">
        <x:f>IF(ISNUMBER(F7),F7*VALUE(SUBSTITUTE(LEFT('Pricing rates'!$B$2,FIND(" THB",'Pricing rates'!$B$2)-1),",","")),IF(ISNUMBER(G7),G7*VALUE(SUBSTITUTE(LEFT('Pricing rates'!$B$4,FIND(" THB",'Pricing rates'!$B$4)-1),",","")),"TBD"))</x:f>
        <x:v>100000</x:v>
      </x:c>
      <x:c r="I7" s="1">
        <x:v>4</x:v>
      </x:c>
    </x:row>
    <x:row r="8" ht="25.5">
      <x:c r="A8" s="1">
        <x:v>7</x:v>
      </x:c>
      <x:c r="B8" s="3" t="s">
        <x:v>33</x:v>
      </x:c>
      <x:c r="C8" s="3" t="s">
        <x:v>34</x:v>
      </x:c>
      <x:c r="D8" s="5" t="s">
        <x:v>35</x:v>
      </x:c>
      <x:c r="E8" s="5" t="s">
        <x:v>36</x:v>
      </x:c>
      <x:c r="F8" s="1">
        <x:v>6</x:v>
      </x:c>
      <x:c r="G8" s="1"/>
      <x:c r="H8" s="8" t="n">
        <x:f>IF(ISNUMBER(F8),F8*VALUE(SUBSTITUTE(LEFT('Pricing rates'!$B$2,FIND(" THB",'Pricing rates'!$B$2)-1),",","")),IF(ISNUMBER(G8),G8*VALUE(SUBSTITUTE(LEFT('Pricing rates'!$B$4,FIND(" THB",'Pricing rates'!$B$4)-1),",","")),"TBD"))</x:f>
        <x:v>120000</x:v>
      </x:c>
      <x:c r="I8" s="1">
        <x:v>4</x:v>
      </x:c>
    </x:row>
    <x:row r="9" ht="38.25">
      <x:c r="A9" s="1">
        <x:v>8</x:v>
      </x:c>
      <x:c r="B9" s="3" t="s">
        <x:v>37</x:v>
      </x:c>
      <x:c r="C9" s="3" t="s">
        <x:v>38</x:v>
      </x:c>
      <x:c r="D9" s="5" t="s">
        <x:v>39</x:v>
      </x:c>
      <x:c r="E9" s="5" t="s">
        <x:v>40</x:v>
      </x:c>
      <x:c r="F9" s="1">
        <x:v>6</x:v>
      </x:c>
      <x:c r="G9" s="1"/>
      <x:c r="H9" s="8" t="n">
        <x:f>IF(ISNUMBER(F9),F9*VALUE(SUBSTITUTE(LEFT('Pricing rates'!$B$2,FIND(" THB",'Pricing rates'!$B$2)-1),",","")),IF(ISNUMBER(G9),G9*VALUE(SUBSTITUTE(LEFT('Pricing rates'!$B$4,FIND(" THB",'Pricing rates'!$B$4)-1),",","")),"TBD"))</x:f>
        <x:v>120000</x:v>
      </x:c>
      <x:c r="I9" s="1">
        <x:v>3</x:v>
      </x:c>
    </x:row>
    <x:row r="10" ht="38.25">
      <x:c r="A10" s="1">
        <x:v>9</x:v>
      </x:c>
      <x:c r="B10" s="3" t="s">
        <x:v>41</x:v>
      </x:c>
      <x:c r="C10" s="3" t="s">
        <x:v>42</x:v>
      </x:c>
      <x:c r="D10" s="5" t="s">
        <x:v>43</x:v>
      </x:c>
      <x:c r="E10" s="5" t="s">
        <x:v>44</x:v>
      </x:c>
      <x:c r="F10" s="1">
        <x:v>6</x:v>
      </x:c>
      <x:c r="G10" s="1"/>
      <x:c r="H10" s="8" t="n">
        <x:f>IF(ISNUMBER(F10),F10*VALUE(SUBSTITUTE(LEFT('Pricing rates'!$B$2,FIND(" THB",'Pricing rates'!$B$2)-1),",","")),IF(ISNUMBER(G10),G10*VALUE(SUBSTITUTE(LEFT('Pricing rates'!$B$4,FIND(" THB",'Pricing rates'!$B$4)-1),",","")),"TBD"))</x:f>
        <x:v>120000</x:v>
      </x:c>
      <x:c r="I10" s="1">
        <x:v>4</x:v>
      </x:c>
    </x:row>
    <x:row r="11" ht="25.5">
      <x:c r="A11" s="1">
        <x:v>10</x:v>
      </x:c>
      <x:c r="B11" s="3" t="s">
        <x:v>45</x:v>
      </x:c>
      <x:c r="C11" s="3" t="s">
        <x:v>46</x:v>
      </x:c>
      <x:c r="D11" s="5" t="s">
        <x:v>47</x:v>
      </x:c>
      <x:c r="E11" s="5" t="s">
        <x:v>48</x:v>
      </x:c>
      <x:c r="F11" s="1"/>
      <x:c r="G11" s="1">
        <x:v>100</x:v>
      </x:c>
      <x:c r="H11" s="8" t="n">
        <x:f>IF(ISNUMBER(F11),F11*VALUE(SUBSTITUTE(LEFT('Pricing rates'!$B$2,FIND(" THB",'Pricing rates'!$B$2)-1),",","")),IF(ISNUMBER(G11),G11*VALUE(SUBSTITUTE(LEFT('Pricing rates'!$B$4,FIND(" THB",'Pricing rates'!$B$4)-1),",","")),"TBD"))</x:f>
        <x:v>250000</x:v>
      </x:c>
      <x:c r="I11" s="1">
        <x:v>5</x:v>
      </x:c>
    </x:row>
    <x:row r="12">
      <x:c r="A12" s="1"/>
      <x:c r="B12" s="3"/>
      <x:c r="C12" s="3"/>
      <x:c r="D12" s="5"/>
      <x:c r="E12" s="5" t="s">
        <x:v>49</x:v>
      </x:c>
      <x:c r="F12" s="1" t="n">
        <x:f>SUM(F2:F11)</x:f>
        <x:v>48.5</x:v>
      </x:c>
      <x:c r="G12" s="1"/>
      <x:c r="H12" s="8" t="n">
        <x:f>SUM(H2:H10)</x:f>
        <x:v>970000</x:v>
      </x:c>
      <x:c r="I12" s="1"/>
    </x:row>
    <x:row r="13">
      <x:c r="A13" s="1"/>
      <x:c r="B13" s="3"/>
      <x:c r="C13" s="3"/>
      <x:c r="D13" s="5"/>
      <x:c r="E13" s="5" t="s">
        <x:v>45</x:v>
      </x:c>
      <x:c r="F13" s="1"/>
      <x:c r="G13" s="1" t="s">
        <x:v>50</x:v>
      </x:c>
      <x:c r="H13" s="8" t="n">
        <x:f>H11</x:f>
        <x:v>250000</x:v>
      </x:c>
      <x:c r="I13" s="1"/>
    </x:row>
    <x:row r="14">
      <x:c r="A14" s="1"/>
      <x:c r="B14" s="3"/>
      <x:c r="C14" s="3"/>
      <x:c r="D14" s="5"/>
      <x:c r="E14" s="5" t="s">
        <x:v>51</x:v>
      </x:c>
      <x:c r="F14" s="1"/>
      <x:c r="G14" s="1"/>
      <x:c r="H14" s="8" t="n">
        <x:f>SUM(H12:H13)</x:f>
        <x:v>1220000</x:v>
      </x:c>
      <x:c r="I14" s="1"/>
    </x:row>
  </x:sheetData>
  <x:pageMargins left="0.7" right="0.7" top="0.75" bottom="0.75" header="0.3" footer="0.3"/>
</x:worksheet>
</file>

<file path=xl/worksheets/sheet2.xml><?xml version="1.0" encoding="utf-8"?>
<x:worksheet xmlns:x="http://schemas.openxmlformats.org/spreadsheetml/2006/main">
  <x:sheetFormatPr defaultColWidth="44.625" defaultRowHeight="12.75"/>
  <x:cols>
    <x:col min="1" max="16384" width="44.625" style="2" customWidth="0"/>
  </x:cols>
  <x:sheetData>
    <x:row r="1">
      <x:c r="A1" s="1" t="s">
        <x:v>52</x:v>
      </x:c>
      <x:c r="B1" s="7" t="s">
        <x:v>53</x:v>
      </x:c>
    </x:row>
    <x:row r="2">
      <x:c r="A2" s="3" t="s">
        <x:v>54</x:v>
      </x:c>
      <x:c r="B2" s="7" t="s">
        <x:v>55</x:v>
      </x:c>
    </x:row>
    <x:row r="3">
      <x:c r="A3" s="3" t="s">
        <x:v>56</x:v>
      </x:c>
      <x:c r="B3" s="7" t="s">
        <x:v>57</x:v>
      </x:c>
    </x:row>
    <x:row r="4">
      <x:c r="A4" s="3" t="s">
        <x:v>58</x:v>
      </x:c>
      <x:c r="B4" s="7" t="s">
        <x:v>59</x:v>
      </x:c>
    </x:row>
    <x:row r="5">
      <x:c r="A5" s="3" t="s">
        <x:v>13</x:v>
      </x:c>
      <x:c r="B5" s="7" t="s">
        <x:v>60</x:v>
      </x:c>
    </x:row>
  </x:sheetData>
  <x:pageMargins left="0.7" right="0.7" top="0.75" bottom="0.75" header="0.3" footer="0.3"/>
</x:worksheet>
</file>

<file path=xl/worksheets/sheet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5.630000114440918" hidden="0" customWidth="1"/>
    <x:col min="2" max="2" width="43.130001068115234" hidden="0" customWidth="1"/>
    <x:col min="3" max="3" width="45" hidden="0" customWidth="1"/>
    <x:col min="4" max="4" width="11.880000114440918" hidden="0" customWidth="1"/>
    <x:col min="5" max="5" width="10.630000114440918" hidden="0" customWidth="1"/>
    <x:col min="6" max="6" width="16.25" hidden="0" customWidth="1"/>
    <x:col min="7" max="7" width="8.5" hidden="0" customWidth="1"/>
    <x:col min="8" max="8" width="50" hidden="0" customWidth="1"/>
  </x:cols>
  <x:sheetData>
    <x:row r="1" ht="40" customHeight="1">
      <x:c r="A1" s="20" t="str">
        <x:v>IRPC 2027 | Proposed Professional Services</x:v>
      </x:c>
      <x:c r="B1" s="20"/>
      <x:c r="C1" s="20"/>
      <x:c r="D1" s="20"/>
      <x:c r="E1" s="20"/>
      <x:c r="F1" s="20"/>
      <x:c r="G1" s="20"/>
      <x:c r="H1" s="20"/>
    </x:row>
    <x:row r="2" ht="28" customHeight="1">
      <x:c r="A2" s="26" t="str">
        <x:v>Scope &amp; Effort Summary  |  ฉบับร่างเพื่อกำหนดขอบเขตงานก่อนออก SOW ฉบับสมบูรณ์</x:v>
      </x:c>
      <x:c r="B2" s="26"/>
      <x:c r="C2" s="26"/>
      <x:c r="D2" s="26"/>
      <x:c r="E2" s="26"/>
      <x:c r="F2" s="26"/>
      <x:c r="G2" s="26"/>
      <x:c r="H2" s="26"/>
    </x:row>
    <x:row r="4" ht="34" customHeight="1">
      <x:c r="A4" s="34" t="str">
        <x:v>No.</x:v>
      </x:c>
      <x:c r="B4" s="34" t="str">
        <x:v>โครงการ</x:v>
      </x:c>
      <x:c r="C4" s="34" t="str">
        <x:v>รายละเอียดโดยย่อ</x:v>
      </x:c>
      <x:c r="D4" s="34" t="str">
        <x:v>Est. Man-days</x:v>
      </x:c>
      <x:c r="E4" s="34" t="str">
        <x:v>Est. Hours</x:v>
      </x:c>
      <x:c r="F4" s="34" t="str">
        <x:v>Cost (THB)</x:v>
      </x:c>
      <x:c r="G4" s="34" t="str">
        <x:v>Priority</x:v>
      </x:c>
      <x:c r="H4" s="34" t="str">
        <x:v>ข้อจำกัด / หมายเหตุ</x:v>
      </x:c>
    </x:row>
    <x:row r="5" ht="70" customHeight="1">
      <x:c r="A5" s="46" t="n">
        <x:v>1</x:v>
      </x:c>
      <x:c r="B5" s="42" t="str">
        <x:v>Windows Server 2016 Migration Assessment &amp; Roadmap</x:v>
      </x:c>
      <x:c r="C5" s="42" t="str">
        <x:v>ประเมินความพร้อมและจัดทำแผนย้าย Windows Server 2016 ไปยัง Windows Server 2022/2025</x:v>
      </x:c>
      <x:c r="D5" s="134" t="n">
        <x:f>'2027 projects'!F2</x:f>
        <x:v>6</x:v>
      </x:c>
      <x:c r="E5" s="134"/>
      <x:c r="F5" s="50" t="n">
        <x:f>'2027 projects'!H2</x:f>
        <x:v>120000</x:v>
      </x:c>
      <x:c r="G5" s="46" t="n">
        <x:f>'2027 projects'!I2</x:f>
        <x:v>5</x:v>
      </x:c>
      <x:c r="H5" s="42" t="str">
        <x:v>อาศัยข้อมูลจากทีม System/Application Owner; ไม่รวมการทดสอบย้ายระบบจริง</x:v>
      </x:c>
    </x:row>
    <x:row r="6" ht="70" customHeight="1">
      <x:c r="A6" s="47" t="n">
        <x:v>2</x:v>
      </x:c>
      <x:c r="B6" s="44" t="str">
        <x:v>Windows Server 2016 Migration Implementation</x:v>
      </x:c>
      <x:c r="C6" s="44" t="str">
        <x:v>ดำเนินการย้าย Windows Server 2016 ตาม Migration Waves และแผน Cutover ที่ได้รับอนุมัติ</x:v>
      </x:c>
      <x:c r="D6" s="135" t="str">
        <x:v>TBD</x:v>
      </x:c>
      <x:c r="E6" s="135" t="str">
        <x:f>'2027 projects'!G3</x:f>
        <x:v>TBD</x:v>
      </x:c>
      <x:c r="F6" s="51" t="str">
        <x:f>'2027 projects'!H3</x:f>
        <x:v>TBD</x:v>
      </x:c>
      <x:c r="G6" s="47" t="n">
        <x:f>'2027 projects'!I3</x:f>
        <x:v>5</x:v>
      </x:c>
      <x:c r="H6" s="44" t="str">
        <x:v>Effort/ราคาเป็น TBD ต้องประเมินจำนวน Server, Application, Dependency, Downtime และ Cutover Window ก่อน</x:v>
      </x:c>
    </x:row>
    <x:row r="7" ht="70" customHeight="1">
      <x:c r="A7" s="46" t="n">
        <x:v>3</x:v>
      </x:c>
      <x:c r="B7" s="42" t="str">
        <x:v>Service Account Security Assessment &amp; Remediation</x:v>
      </x:c>
      <x:c r="C7" s="42" t="str">
        <x:v>ตรวจสอบ Service Account และลดความเสี่ยงจากสิทธิ์เกินจำเป็นหรือการตั้งค่าที่ไม่ปลอดภัย</x:v>
      </x:c>
      <x:c r="D7" s="134" t="n">
        <x:f>'2027 projects'!F4</x:f>
        <x:v>6</x:v>
      </x:c>
      <x:c r="E7" s="134"/>
      <x:c r="F7" s="50" t="n">
        <x:f>'2027 projects'!H4</x:f>
        <x:v>120000</x:v>
      </x:c>
      <x:c r="G7" s="46" t="n">
        <x:f>'2027 projects'!I4</x:f>
        <x:v>5</x:v>
      </x:c>
      <x:c r="H7" s="42" t="str">
        <x:v>ไม่รวมการแก้ไข Service Account ทุกระบบทั้งองค์กร; การเปลี่ยน Credential ต้องผ่าน Change Approval</x:v>
      </x:c>
    </x:row>
    <x:row r="8" ht="70" customHeight="1">
      <x:c r="A8" s="47" t="n">
        <x:v>4</x:v>
      </x:c>
      <x:c r="B8" s="44" t="str">
        <x:v>Linux Platform Management, Standardization &amp; Security</x:v>
      </x:c>
      <x:c r="C8" s="44" t="str">
        <x:v>กำหนดมาตรฐานการบริหารและความปลอดภัยของ Linux พร้อมติดตั้งตัวอย่างอ้างอิง</x:v>
      </x:c>
      <x:c r="D8" s="135" t="n">
        <x:f>'2027 projects'!F5</x:f>
        <x:v>7.5</x:v>
      </x:c>
      <x:c r="E8" s="135"/>
      <x:c r="F8" s="51" t="n">
        <x:f>'2027 projects'!H5</x:f>
        <x:v>150000</x:v>
      </x:c>
      <x:c r="G8" s="47" t="n">
        <x:f>'2027 projects'!I5</x:f>
        <x:v>5</x:v>
      </x:c>
      <x:c r="H8" s="44" t="str">
        <x:v>เป็นการกำหนดมาตรฐานและทำ Reference Implementation; ไม่รวม Fleet-wide Rollout</x:v>
      </x:c>
    </x:row>
    <x:row r="9" ht="70" customHeight="1">
      <x:c r="A9" s="46" t="n">
        <x:v>5</x:v>
      </x:c>
      <x:c r="B9" s="42" t="str">
        <x:v>AWS Identity &amp; Access Governance and Security Baseline</x:v>
      </x:c>
      <x:c r="C9" s="42" t="str">
        <x:v>ประเมินและยกระดับมาตรฐาน AWS Identity &amp; Access Governance สำหรับบัญชีที่ตกลง</x:v>
      </x:c>
      <x:c r="D9" s="134" t="n">
        <x:f>'2027 projects'!F6</x:f>
        <x:v>6</x:v>
      </x:c>
      <x:c r="E9" s="134"/>
      <x:c r="F9" s="50" t="n">
        <x:f>'2027 projects'!H6</x:f>
        <x:v>120000</x:v>
      </x:c>
      <x:c r="G9" s="46" t="n">
        <x:f>'2027 projects'!I6</x:f>
        <x:v>4</x:v>
      </x:c>
      <x:c r="H9" s="42" t="str">
        <x:v>การเปลี่ยน SCP/Role ต้องทดสอบผลกระทบและรับอนุมัติ; ไม่รวมการปรับสิทธิ์ทุก Account</x:v>
      </x:c>
    </x:row>
    <x:row r="10" ht="70" customHeight="1">
      <x:c r="A10" s="47" t="n">
        <x:v>6</x:v>
      </x:c>
      <x:c r="B10" s="44" t="str">
        <x:v>Microsoft 365 Security Baseline &amp; Secure Score Improvement</x:v>
      </x:c>
      <x:c r="C10" s="44" t="str">
        <x:v>ประเมิน Security Baseline ของ Microsoft 365 และปรับปรุง Controls ที่มีผลต่อความเสี่ยงและ Secure Score</x:v>
      </x:c>
      <x:c r="D10" s="135" t="n">
        <x:f>'2027 projects'!F7</x:f>
        <x:v>5</x:v>
      </x:c>
      <x:c r="E10" s="135"/>
      <x:c r="F10" s="51" t="n">
        <x:f>'2027 projects'!H7</x:f>
        <x:v>100000</x:v>
      </x:c>
      <x:c r="G10" s="47" t="n">
        <x:f>'2027 projects'!I7</x:f>
        <x:v>4</x:v>
      </x:c>
      <x:c r="H10" s="44" t="str">
        <x:v>เป้าหมาย Secure Score 75–80% เป็น KPI ที่ขึ้นกับคะแนนเริ่มต้น License และสิทธิ์อนุมัติ ไม่รับประกันภายใน 5 วัน</x:v>
      </x:c>
    </x:row>
    <x:row r="11" ht="70" customHeight="1">
      <x:c r="A11" s="46" t="n">
        <x:v>7</x:v>
      </x:c>
      <x:c r="B11" s="42" t="str">
        <x:v>Microsoft 365 Zero Trust – Regulatory &amp; Compliance Readiness (Swim lane 5)</x:v>
      </x:c>
      <x:c r="C11" s="42" t="str">
        <x:v>ประเมินความพร้อมด้าน Data Governance และ Compliance บน Microsoft 365/Purview</x:v>
      </x:c>
      <x:c r="D11" s="134" t="n">
        <x:f>'2027 projects'!F8</x:f>
        <x:v>6</x:v>
      </x:c>
      <x:c r="E11" s="134"/>
      <x:c r="F11" s="50" t="n">
        <x:f>'2027 projects'!H8</x:f>
        <x:v>120000</x:v>
      </x:c>
      <x:c r="G11" s="46" t="n">
        <x:f>'2027 projects'!I8</x:f>
        <x:v>4</x:v>
      </x:c>
      <x:c r="H11" s="42" t="str">
        <x:v>ไม่รวม Legal Opinion/การรับรองผ่านข้อกำหนดทางกฎหมาย; การใช้ Feature ขึ้นกับ License</x:v>
      </x:c>
    </x:row>
    <x:row r="12" ht="70" customHeight="1">
      <x:c r="A12" s="47" t="n">
        <x:v>8</x:v>
      </x:c>
      <x:c r="B12" s="44" t="str">
        <x:v>Microsoft 365 Zero Trust – Secure AI Apps &amp; Data (Swim lane 4)</x:v>
      </x:c>
      <x:c r="C12" s="44" t="str">
        <x:v>ประเมินและจำกัดความเสี่ยงจาก AI Apps/Copilot และการเข้าถึงข้อมูลบน Microsoft 365</x:v>
      </x:c>
      <x:c r="D12" s="135" t="n">
        <x:f>'2027 projects'!F9</x:f>
        <x:v>6</x:v>
      </x:c>
      <x:c r="E12" s="135"/>
      <x:c r="F12" s="51" t="n">
        <x:f>'2027 projects'!H9</x:f>
        <x:v>120000</x:v>
      </x:c>
      <x:c r="G12" s="47" t="n">
        <x:f>'2027 projects'!I9</x:f>
        <x:v>3</x:v>
      </x:c>
      <x:c r="H12" s="44" t="str">
        <x:v>เน้น Assessment และ Selected Controls ไม่รวม Full Tenant Rollout; ฟีเจอร์ขึ้นกับ License</x:v>
      </x:c>
    </x:row>
    <x:row r="13" ht="70" customHeight="1">
      <x:c r="A13" s="46" t="n">
        <x:v>9</x:v>
      </x:c>
      <x:c r="B13" s="42" t="str">
        <x:v>Enterprise MCP Server Implementation &amp; Integration</x:v>
      </x:c>
      <x:c r="C13" s="42" t="str">
        <x:v>ออกแบบและพัฒนา MCP Server เพื่อให้ AI Clients เรียกใช้งาน Enterprise APIs/ข้อมูลที่ได้รับอนุญาต</x:v>
      </x:c>
      <x:c r="D13" s="134" t="n">
        <x:f>'2027 projects'!F10</x:f>
        <x:v>6</x:v>
      </x:c>
      <x:c r="E13" s="134"/>
      <x:c r="F13" s="50" t="n">
        <x:f>'2027 projects'!H10</x:f>
        <x:v>120000</x:v>
      </x:c>
      <x:c r="G13" s="46" t="n">
        <x:f>'2027 projects'!I10</x:f>
        <x:v>4</x:v>
      </x:c>
      <x:c r="H13" s="42" t="str">
        <x:v>ประมาณการ 6 วันสำหรับ 1 Data Source/API ที่พร้อมใช้ และไม่เกิน 3 Tools; ไม่รวมสร้าง Backend API ใหม่หรือ HA</x:v>
      </x:c>
    </x:row>
    <x:row r="14" ht="70" customHeight="1">
      <x:c r="A14" s="47" t="n">
        <x:v>10</x:v>
      </x:c>
      <x:c r="B14" s="44" t="str">
        <x:v>Professional Support</x:v>
      </x:c>
      <x:c r="C14" s="44" t="str">
        <x:v>บริการให้คำปรึกษาและแก้ไขปัญหาระบบ Infrastructure, Identity, Microsoft 365 และ Cloud ตามที่ร้องขอ</x:v>
      </x:c>
      <x:c r="D14" s="135"/>
      <x:c r="E14" s="135" t="n">
        <x:f>'2027 projects'!G11</x:f>
        <x:v>100</x:v>
      </x:c>
      <x:c r="F14" s="51" t="n">
        <x:f>'2027 projects'!H11</x:f>
        <x:v>250000</x:v>
      </x:c>
      <x:c r="G14" s="47" t="n">
        <x:f>'2027 projects'!I11</x:f>
        <x:v>5</x:v>
      </x:c>
      <x:c r="H14" s="44" t="str">
        <x:v>บริการตามการใช้จริงภายใน 100 ชั่วโมง (เทียบเท่า 12.5 Man-days); ไม่รวม 24×7 On-call หรือ Guaranteed SLA</x:v>
      </x:c>
    </x:row>
    <x:row r="15">
      <x:c r="D15" s="136"/>
      <x:c r="E15" s="136"/>
      <x:c r="F15" s="52"/>
    </x:row>
    <x:row r="16" ht="35" customHeight="1">
      <x:c r="A16" s="20" t="str">
        <x:v>TOTAL | กำหนดราคาแล้ว (ไม่รวม Implementation TBD)</x:v>
      </x:c>
      <x:c r="B16" s="20"/>
      <x:c r="C16" s="20"/>
      <x:c r="D16" s="137" t="n">
        <x:f>SUM(D5:D14)</x:f>
        <x:v>48.5</x:v>
      </x:c>
      <x:c r="E16" s="137" t="n">
        <x:f>SUM(E5:E14)</x:f>
        <x:v>100</x:v>
      </x:c>
      <x:c r="F16" s="67" t="n">
        <x:f>SUM(F5:F14)</x:f>
        <x:v>1220000</x:v>
      </x:c>
      <x:c r="G16" s="20"/>
      <x:c r="H16" s="20"/>
    </x:row>
    <x:row r="18" ht="28" customHeight="1">
      <x:c r="A18" s="74" t="str">
        <x:v>Assumptions / เงื่อนไขการเสนอราคา</x:v>
      </x:c>
      <x:c r="B18" s="74"/>
      <x:c r="C18" s="74"/>
      <x:c r="D18" s="74"/>
      <x:c r="E18" s="74"/>
      <x:c r="F18" s="74"/>
      <x:c r="G18" s="74"/>
      <x:c r="H18" s="74"/>
    </x:row>
    <x:row r="19" ht="29" customHeight="1">
      <x:c r="A19" s="78" t="str">
        <x:v>1) Man-days เป็นปริมาณความพยายามในการให้บริการ (Effort) ไม่ใช่จำนวนวันปฏิทินต่อเนื่อง; 1 Man-day = 8 ชั่วโมง</x:v>
      </x:c>
      <x:c r="B19" s="78"/>
      <x:c r="C19" s="78"/>
      <x:c r="D19" s="78"/>
      <x:c r="E19" s="78"/>
      <x:c r="F19" s="78"/>
      <x:c r="G19" s="78"/>
      <x:c r="H19" s="78"/>
    </x:row>
    <x:row r="20" ht="29" customHeight="1">
      <x:c r="A20" s="44" t="str">
        <x:v>2) Migration Implementation (โครงการ 2) ยังไม่รวมในยอดรวม เพราะต้องกำหนดจำนวน Server, Application, Dependency และ Cutover Window</x:v>
      </x:c>
      <x:c r="B20" s="44"/>
      <x:c r="C20" s="44"/>
      <x:c r="D20" s="44"/>
      <x:c r="E20" s="44"/>
      <x:c r="F20" s="44"/>
      <x:c r="G20" s="44"/>
      <x:c r="H20" s="44"/>
    </x:row>
    <x:row r="21" ht="29" customHeight="1">
      <x:c r="A21" s="78" t="str">
        <x:v>3) งาน 3–9 เป็นการประเมิน/ออกแบบและลงมือแก้ไขเฉพาะ Priority Controls หรือ Reference Implementation ที่อนุมัติ ไม่ใช่ Rollout ทุกระบบ</x:v>
      </x:c>
      <x:c r="B21" s="78"/>
      <x:c r="C21" s="78"/>
      <x:c r="D21" s="78"/>
      <x:c r="E21" s="78"/>
      <x:c r="F21" s="78"/>
      <x:c r="G21" s="78"/>
      <x:c r="H21" s="78"/>
    </x:row>
    <x:row r="22" ht="29" customHeight="1">
      <x:c r="A22" s="44" t="str">
        <x:v>4) การใช้ผลิตภัณฑ์/ฟีเจอร์เป็นไปตาม License, สิทธิ์เข้าถึง, Change Approval และความพร้อมของระบบลูกค้า; งานนอก Scope ต้องประเมินเพิ่ม</x:v>
      </x:c>
      <x:c r="B22" s="44"/>
      <x:c r="C22" s="44"/>
      <x:c r="D22" s="44"/>
      <x:c r="E22" s="44"/>
      <x:c r="F22" s="44"/>
      <x:c r="G22" s="44"/>
      <x:c r="H22" s="44"/>
    </x:row>
    <x:row r="23" ht="29" customHeight="1">
      <x:c r="A23" s="78" t="str">
        <x:v>5) Professional Support คิดเป็น 100 ชั่วโมง ตามการใช้บริการจริง ภายใต้ขอบเขตและช่วงเวลาให้บริการที่ตกลงร่วมกัน</x:v>
      </x:c>
      <x:c r="B23" s="78"/>
      <x:c r="C23" s="78"/>
      <x:c r="D23" s="78"/>
      <x:c r="E23" s="78"/>
      <x:c r="F23" s="78"/>
      <x:c r="G23" s="78"/>
      <x:c r="H23" s="78"/>
    </x:row>
  </x:sheetData>
  <x:mergeCells>
    <x:mergeCell ref="A1:H1"/>
    <x:mergeCell ref="A2:H2"/>
    <x:mergeCell ref="A16:C16"/>
    <x:mergeCell ref="A18:H18"/>
    <x:mergeCell ref="A19:H19"/>
    <x:mergeCell ref="A20:H20"/>
    <x:mergeCell ref="A21:H21"/>
    <x:mergeCell ref="A22:H22"/>
    <x:mergeCell ref="A23:H23"/>
  </x:mergeCells>
  <x:pageMargins left="0.7" right="0.7" top="0.75" bottom="0.75" header="0.3" footer="0.3"/>
</x:worksheet>
</file>

<file path=xl/worksheets/sheet4.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8.5" hidden="0" customWidth="1"/>
    <x:col min="2" max="2" width="14.5" hidden="0" customWidth="1"/>
    <x:col min="3" max="3" width="22.5" hidden="0" customWidth="1"/>
    <x:col min="4" max="4" width="16.25" hidden="0" customWidth="1"/>
    <x:col min="5" max="5" width="15.630000114440918" hidden="0" customWidth="1"/>
    <x:col min="6" max="6" width="13.130000114440918" hidden="0" customWidth="1"/>
    <x:col min="7" max="7" width="13.75" hidden="0" customWidth="1"/>
    <x:col min="8" max="8" width="13.75" hidden="0" customWidth="1"/>
  </x:cols>
  <x:sheetData>
    <x:row r="1" ht="42" customHeight="1">
      <x:c r="A1" s="20" t="str">
        <x:v>IRPC 2027 | Scope of Work &amp; Activity Breakdown</x:v>
      </x:c>
      <x:c r="B1" s="20"/>
      <x:c r="C1" s="20"/>
      <x:c r="D1" s="20"/>
      <x:c r="E1" s="20"/>
      <x:c r="F1" s="20"/>
      <x:c r="G1" s="20"/>
      <x:c r="H1" s="20"/>
    </x:row>
    <x:row r="2" ht="29" customHeight="1">
      <x:c r="A2" s="26" t="str">
        <x:v>รายละเอียดงานโดยย่อ • ขอบเขต • กิจกรรมและระยะเวลา • สิ่งส่งมอบ • เงื่อนไขการดำเนินงาน</x:v>
      </x:c>
      <x:c r="B2" s="26"/>
      <x:c r="C2" s="26"/>
      <x:c r="D2" s="26"/>
      <x:c r="E2" s="26"/>
      <x:c r="F2" s="26"/>
      <x:c r="G2" s="26"/>
      <x:c r="H2" s="26"/>
    </x:row>
    <x:row r="3" ht="26" customHeight="1">
      <x:c r="A3" s="87" t="str">
        <x:v>Effort ของกิจกรรมเป็นค่าโดยประมาณ รวมต่อโครงการตามต้นฉบับ; ตารางเวลา Calendar Days จะกำหนดหลังตกลง Schedule และ Resource</x:v>
      </x:c>
      <x:c r="B3" s="87"/>
      <x:c r="C3" s="87"/>
      <x:c r="D3" s="87"/>
      <x:c r="E3" s="87"/>
      <x:c r="F3" s="87"/>
      <x:c r="G3" s="87"/>
      <x:c r="H3" s="87"/>
    </x:row>
    <x:row r="5" ht="38" customHeight="1">
      <x:c r="A5" s="91" t="str">
        <x:v>01  |  Windows Server 2016 Migration Assessment &amp; Roadmap</x:v>
      </x:c>
      <x:c r="B5" s="91"/>
      <x:c r="C5" s="91"/>
      <x:c r="D5" s="91"/>
      <x:c r="E5" s="91"/>
      <x:c r="F5" s="91"/>
      <x:c r="G5" s="91"/>
      <x:c r="H5" s="91"/>
    </x:row>
    <x:row r="6" ht="44" customHeight="1">
      <x:c r="A6" s="95" t="str">
        <x:v>รายละเอียดโดยย่อ</x:v>
      </x:c>
      <x:c r="B6" s="95"/>
      <x:c r="C6" s="100" t="str">
        <x:v>ประเมินความพร้อมและจัดทำแผนย้าย Windows Server 2016 ไปยัง Windows Server 2022/2025</x:v>
      </x:c>
      <x:c r="D6" s="100"/>
      <x:c r="E6" s="100"/>
      <x:c r="F6" s="100"/>
      <x:c r="G6" s="100"/>
      <x:c r="H6" s="100"/>
    </x:row>
    <x:row r="7" ht="58" customHeight="1">
      <x:c r="A7" s="95" t="str">
        <x:v>Scope</x:v>
      </x:c>
      <x:c r="B7" s="95"/>
      <x:c r="C7" s="100" t="str">
        <x:v>สำรวจ Server, Application และ Dependency ตามรายการที่ตกลง ประเมินความเสี่ยงและความซับซ้อน พร้อมกำหนด Target Baseline, Migration Approach และ Migration Waves; ไม่รวมการย้ายระบบจริง</x:v>
      </x:c>
      <x:c r="D7" s="100"/>
      <x:c r="E7" s="100"/>
      <x:c r="F7" s="100"/>
      <x:c r="G7" s="100"/>
      <x:c r="H7" s="100"/>
    </x:row>
    <x:row r="8" ht="110" customHeight="1">
      <x:c r="A8" s="95" t="str">
        <x:v>รายการที่จะทำ</x:v>
      </x:c>
      <x:c r="B8" s="95"/>
      <x:c r="C8" s="100" t="str">
        <x:v>1. Kickoff และรวบรวม Server Inventory  (1 วัน)
2. วิเคราะห์ Application, Dependency และ Compatibility  (2 วัน)
3. กำหนด Target Platform, Baseline และ Migration Approach  (1 วัน)
4. จัดทำ Risk Register, Migration Waves และ Roadmap  (2 วัน)</x:v>
      </x:c>
      <x:c r="D8" s="100"/>
      <x:c r="E8" s="100"/>
      <x:c r="F8" s="100"/>
      <x:c r="G8" s="100"/>
      <x:c r="H8" s="100"/>
    </x:row>
    <x:row r="9" ht="45" customHeight="1">
      <x:c r="A9" s="95" t="str">
        <x:v>Deliverables</x:v>
      </x:c>
      <x:c r="B9" s="95"/>
      <x:c r="C9" s="100" t="str">
        <x:v>Server/Workload Inventory, Dependency &amp; Risk Assessment, Migration Strategy และ Roadmap</x:v>
      </x:c>
      <x:c r="D9" s="100"/>
      <x:c r="E9" s="100"/>
      <x:c r="F9" s="100"/>
      <x:c r="G9" s="100"/>
      <x:c r="H9" s="100"/>
    </x:row>
    <x:row r="10" ht="34" customHeight="1">
      <x:c r="A10" s="116" t="str">
        <x:v>ระยะเวลา (Effort)</x:v>
      </x:c>
      <x:c r="B10" s="116"/>
      <x:c r="C10" s="116" t="str">
        <x:v>6 Man-days</x:v>
      </x:c>
      <x:c r="D10" s="116"/>
      <x:c r="E10" s="116"/>
      <x:c r="F10" s="116" t="str">
        <x:v>งบประมาณ</x:v>
      </x:c>
      <x:c r="G10" s="116" t="str">
        <x:v>120,000 บาท</x:v>
      </x:c>
      <x:c r="H10" s="116"/>
    </x:row>
    <x:row r="11" ht="57" customHeight="1">
      <x:c r="A11" s="106" t="str">
        <x:v>ข้อจำกัด / เงื่อนไข</x:v>
      </x:c>
      <x:c r="B11" s="106"/>
      <x:c r="C11" s="111" t="str">
        <x:v>อาศัยข้อมูลจากทีม System/Application Owner; ไม่รวมการทดสอบย้ายระบบจริง</x:v>
      </x:c>
      <x:c r="D11" s="111"/>
      <x:c r="E11" s="111"/>
      <x:c r="F11" s="111"/>
      <x:c r="G11" s="111"/>
      <x:c r="H11" s="111"/>
    </x:row>
    <x:row r="12" ht="13" customHeight="1"/>
    <x:row r="13" ht="38" customHeight="1">
      <x:c r="A13" s="120" t="str">
        <x:v>02  |  Windows Server 2016 Migration Implementation</x:v>
      </x:c>
      <x:c r="B13" s="120"/>
      <x:c r="C13" s="120"/>
      <x:c r="D13" s="120"/>
      <x:c r="E13" s="120"/>
      <x:c r="F13" s="120"/>
      <x:c r="G13" s="120"/>
      <x:c r="H13" s="120"/>
    </x:row>
    <x:row r="14" ht="44" customHeight="1">
      <x:c r="A14" s="95" t="str">
        <x:v>รายละเอียดโดยย่อ</x:v>
      </x:c>
      <x:c r="B14" s="95"/>
      <x:c r="C14" s="124" t="str">
        <x:v>ดำเนินการย้าย Windows Server 2016 ตาม Migration Waves และแผน Cutover ที่ได้รับอนุมัติ</x:v>
      </x:c>
      <x:c r="D14" s="124"/>
      <x:c r="E14" s="124"/>
      <x:c r="F14" s="124"/>
      <x:c r="G14" s="124"/>
      <x:c r="H14" s="124"/>
    </x:row>
    <x:row r="15" ht="58" customHeight="1">
      <x:c r="A15" s="95" t="str">
        <x:v>Scope</x:v>
      </x:c>
      <x:c r="B15" s="95"/>
      <x:c r="C15" s="124" t="str">
        <x:v>Pilot Migration, การย้ายระบบตาม Wave, Configuration/Functional Validation, Cutover, Remediation และการเลิกใช้ Server เดิมที่ตกลงร่วมกัน</x:v>
      </x:c>
      <x:c r="D15" s="124"/>
      <x:c r="E15" s="124"/>
      <x:c r="F15" s="124"/>
      <x:c r="G15" s="124"/>
      <x:c r="H15" s="124"/>
    </x:row>
    <x:row r="16" ht="126" customHeight="1">
      <x:c r="A16" s="95" t="str">
        <x:v>รายการที่จะทำ</x:v>
      </x:c>
      <x:c r="B16" s="95"/>
      <x:c r="C16" s="124" t="str">
        <x:v>1. จัดทำแผน Runbook, Rollback และ Pilot Migration
2. ดำเนินการ Migration ตาม Wave ที่ตกลง
3. ทดสอบ Service, Application และ Dependency ร่วมกับ Owner
4. Cutover, Hypercare และแก้ไขปัญหาหลังย้าย
5. Decommission ระบบเดิมที่ผ่านเกณฑ์อนุมัติ</x:v>
      </x:c>
      <x:c r="D16" s="124"/>
      <x:c r="E16" s="124"/>
      <x:c r="F16" s="124"/>
      <x:c r="G16" s="124"/>
      <x:c r="H16" s="124"/>
    </x:row>
    <x:row r="17" ht="45" customHeight="1">
      <x:c r="A17" s="95" t="str">
        <x:v>Deliverables</x:v>
      </x:c>
      <x:c r="B17" s="95"/>
      <x:c r="C17" s="124" t="str">
        <x:v>Migration Runbook, ผลทดสอบ/ผล Cutover และรายการ Server ที่ย้ายเสร็จ</x:v>
      </x:c>
      <x:c r="D17" s="124"/>
      <x:c r="E17" s="124"/>
      <x:c r="F17" s="124"/>
      <x:c r="G17" s="124"/>
      <x:c r="H17" s="124"/>
    </x:row>
    <x:row r="18" ht="34" customHeight="1">
      <x:c r="A18" s="116" t="str">
        <x:v>ระยะเวลา (Effort)</x:v>
      </x:c>
      <x:c r="B18" s="116"/>
      <x:c r="C18" s="116" t="str">
        <x:v>TBD ตามขอบเขต</x:v>
      </x:c>
      <x:c r="D18" s="116"/>
      <x:c r="E18" s="116"/>
      <x:c r="F18" s="116" t="str">
        <x:v>งบประมาณ</x:v>
      </x:c>
      <x:c r="G18" s="116" t="str">
        <x:v>TBD</x:v>
      </x:c>
      <x:c r="H18" s="116"/>
    </x:row>
    <x:row r="19" ht="57" customHeight="1">
      <x:c r="A19" s="106" t="str">
        <x:v>ข้อจำกัด / เงื่อนไข</x:v>
      </x:c>
      <x:c r="B19" s="106"/>
      <x:c r="C19" s="130" t="str">
        <x:v>Effort/ราคาเป็น TBD ต้องประเมินจำนวน Server, Application, Dependency, Downtime และ Cutover Window ก่อน</x:v>
      </x:c>
      <x:c r="D19" s="130"/>
      <x:c r="E19" s="130"/>
      <x:c r="F19" s="130"/>
      <x:c r="G19" s="130"/>
      <x:c r="H19" s="130"/>
    </x:row>
    <x:row r="20" ht="13" customHeight="1"/>
    <x:row r="21" ht="38" customHeight="1">
      <x:c r="A21" s="91" t="str">
        <x:v>03  |  Service Account Security Assessment &amp; Remediation</x:v>
      </x:c>
      <x:c r="B21" s="91"/>
      <x:c r="C21" s="91"/>
      <x:c r="D21" s="91"/>
      <x:c r="E21" s="91"/>
      <x:c r="F21" s="91"/>
      <x:c r="G21" s="91"/>
      <x:c r="H21" s="91"/>
    </x:row>
    <x:row r="22" ht="44" customHeight="1">
      <x:c r="A22" s="95" t="str">
        <x:v>รายละเอียดโดยย่อ</x:v>
      </x:c>
      <x:c r="B22" s="95"/>
      <x:c r="C22" s="100" t="str">
        <x:v>ตรวจสอบ Service Account และลดความเสี่ยงจากสิทธิ์เกินจำเป็นหรือการตั้งค่าที่ไม่ปลอดภัย</x:v>
      </x:c>
      <x:c r="D22" s="100"/>
      <x:c r="E22" s="100"/>
      <x:c r="F22" s="100"/>
      <x:c r="G22" s="100"/>
      <x:c r="H22" s="100"/>
    </x:row>
    <x:row r="23" ht="58" customHeight="1">
      <x:c r="A23" s="95" t="str">
        <x:v>Scope</x:v>
      </x:c>
      <x:c r="B23" s="95"/>
      <x:c r="C23" s="100" t="str">
        <x:v>ครอบคลุม AD DS/Windows Service Accounts และข้อมูล Silverfort (หากมี) ตามระบบที่ตกลง พร้อม Remediation เฉพาะรายการที่ได้รับอนุมัติ</x:v>
      </x:c>
      <x:c r="D23" s="100"/>
      <x:c r="E23" s="100"/>
      <x:c r="F23" s="100"/>
      <x:c r="G23" s="100"/>
      <x:c r="H23" s="100"/>
    </x:row>
    <x:row r="24" ht="126" customHeight="1">
      <x:c r="A24" s="95" t="str">
        <x:v>รายการที่จะทำ</x:v>
      </x:c>
      <x:c r="B24" s="95"/>
      <x:c r="C24" s="100" t="str">
        <x:v>1. สำรวจ Account, Owner, Usage และ Dependency  (1.5 วัน)
2. วิเคราะห์ Privilege, Logon Rights และ Security Risks  (1.5 วัน)
3. จัดระดับความเสี่ยงและจัดทำ Remediation Plan  (1 วัน)
4. ปรับสิทธิ์/Configuration หรือ Pilot gMSA ตามความเหมาะสม  (1.5 วัน)
5. Validate และสรุปผล/รายการคงค้าง  (0.5 วัน)</x:v>
      </x:c>
      <x:c r="D24" s="100"/>
      <x:c r="E24" s="100"/>
      <x:c r="F24" s="100"/>
      <x:c r="G24" s="100"/>
      <x:c r="H24" s="100"/>
    </x:row>
    <x:row r="25" ht="45" customHeight="1">
      <x:c r="A25" s="95" t="str">
        <x:v>Deliverables</x:v>
      </x:c>
      <x:c r="B25" s="95"/>
      <x:c r="C25" s="100" t="str">
        <x:v>Service Account Inventory, Risk Register, Remediation Checklist และ Validation Results</x:v>
      </x:c>
      <x:c r="D25" s="100"/>
      <x:c r="E25" s="100"/>
      <x:c r="F25" s="100"/>
      <x:c r="G25" s="100"/>
      <x:c r="H25" s="100"/>
    </x:row>
    <x:row r="26" ht="34" customHeight="1">
      <x:c r="A26" s="116" t="str">
        <x:v>ระยะเวลา (Effort)</x:v>
      </x:c>
      <x:c r="B26" s="116"/>
      <x:c r="C26" s="116" t="str">
        <x:v>6 Man-days</x:v>
      </x:c>
      <x:c r="D26" s="116"/>
      <x:c r="E26" s="116"/>
      <x:c r="F26" s="116" t="str">
        <x:v>งบประมาณ</x:v>
      </x:c>
      <x:c r="G26" s="116" t="str">
        <x:v>120,000 บาท</x:v>
      </x:c>
      <x:c r="H26" s="116"/>
    </x:row>
    <x:row r="27" ht="57" customHeight="1">
      <x:c r="A27" s="106" t="str">
        <x:v>ข้อจำกัด / เงื่อนไข</x:v>
      </x:c>
      <x:c r="B27" s="106"/>
      <x:c r="C27" s="111" t="str">
        <x:v>ไม่รวมการแก้ไข Service Account ทุกระบบทั้งองค์กร; การเปลี่ยน Credential ต้องผ่าน Change Approval</x:v>
      </x:c>
      <x:c r="D27" s="111"/>
      <x:c r="E27" s="111"/>
      <x:c r="F27" s="111"/>
      <x:c r="G27" s="111"/>
      <x:c r="H27" s="111"/>
    </x:row>
    <x:row r="28" ht="13" customHeight="1"/>
    <x:row r="29" ht="38" customHeight="1">
      <x:c r="A29" s="120" t="str">
        <x:v>04  |  Linux Platform Management, Standardization &amp; Security</x:v>
      </x:c>
      <x:c r="B29" s="120"/>
      <x:c r="C29" s="120"/>
      <x:c r="D29" s="120"/>
      <x:c r="E29" s="120"/>
      <x:c r="F29" s="120"/>
      <x:c r="G29" s="120"/>
      <x:c r="H29" s="120"/>
    </x:row>
    <x:row r="30" ht="44" customHeight="1">
      <x:c r="A30" s="95" t="str">
        <x:v>รายละเอียดโดยย่อ</x:v>
      </x:c>
      <x:c r="B30" s="95"/>
      <x:c r="C30" s="124" t="str">
        <x:v>กำหนดมาตรฐานการบริหารและความปลอดภัยของ Linux พร้อมติดตั้งตัวอย่างอ้างอิง</x:v>
      </x:c>
      <x:c r="D30" s="124"/>
      <x:c r="E30" s="124"/>
      <x:c r="F30" s="124"/>
      <x:c r="G30" s="124"/>
      <x:c r="H30" s="124"/>
    </x:row>
    <x:row r="31" ht="58" customHeight="1">
      <x:c r="A31" s="95" t="str">
        <x:v>Scope</x:v>
      </x:c>
      <x:c r="B31" s="95"/>
      <x:c r="C31" s="124" t="str">
        <x:v>กำหนด Standard Build/Hardening ครอบคลุม Identity, SSH/Sudo, Patching, EDR, Logging, Monitoring และ Backup พร้อม Reference Configuration บน Linux ที่ตกลง</x:v>
      </x:c>
      <x:c r="D31" s="124"/>
      <x:c r="E31" s="124"/>
      <x:c r="F31" s="124"/>
      <x:c r="G31" s="124"/>
      <x:c r="H31" s="124"/>
    </x:row>
    <x:row r="32" ht="110" customHeight="1">
      <x:c r="A32" s="95" t="str">
        <x:v>รายการที่จะทำ</x:v>
      </x:c>
      <x:c r="B32" s="95"/>
      <x:c r="C32" s="124" t="str">
        <x:v>1. สำรวจ Linux Landscape และ Current Configuration  (1 วัน)
2. ออกแบบ Standard Build, Access และ Security Baseline  (2 วัน)
3. Implement Reference Configuration และ Integration ที่มีอยู่  (2.5 วัน)
4. Validate, จัดทำ Operation Guideline และ Knowledge Transfer  (2 วัน)</x:v>
      </x:c>
      <x:c r="D32" s="124"/>
      <x:c r="E32" s="124"/>
      <x:c r="F32" s="124"/>
      <x:c r="G32" s="124"/>
      <x:c r="H32" s="124"/>
    </x:row>
    <x:row r="33" ht="45" customHeight="1">
      <x:c r="A33" s="95" t="str">
        <x:v>Deliverables</x:v>
      </x:c>
      <x:c r="B33" s="95"/>
      <x:c r="C33" s="124" t="str">
        <x:v>Linux Standard Baseline, Reference Build/Configuration และ Operations Checklist</x:v>
      </x:c>
      <x:c r="D33" s="124"/>
      <x:c r="E33" s="124"/>
      <x:c r="F33" s="124"/>
      <x:c r="G33" s="124"/>
      <x:c r="H33" s="124"/>
    </x:row>
    <x:row r="34" ht="34" customHeight="1">
      <x:c r="A34" s="116" t="str">
        <x:v>ระยะเวลา (Effort)</x:v>
      </x:c>
      <x:c r="B34" s="116"/>
      <x:c r="C34" s="116" t="str">
        <x:v>7.5 Man-days</x:v>
      </x:c>
      <x:c r="D34" s="116"/>
      <x:c r="E34" s="116"/>
      <x:c r="F34" s="116" t="str">
        <x:v>งบประมาณ</x:v>
      </x:c>
      <x:c r="G34" s="116" t="str">
        <x:v>150,000 บาท</x:v>
      </x:c>
      <x:c r="H34" s="116"/>
    </x:row>
    <x:row r="35" ht="57" customHeight="1">
      <x:c r="A35" s="106" t="str">
        <x:v>ข้อจำกัด / เงื่อนไข</x:v>
      </x:c>
      <x:c r="B35" s="106"/>
      <x:c r="C35" s="130" t="str">
        <x:v>เป็นการกำหนดมาตรฐานและทำ Reference Implementation; ไม่รวม Fleet-wide Rollout</x:v>
      </x:c>
      <x:c r="D35" s="130"/>
      <x:c r="E35" s="130"/>
      <x:c r="F35" s="130"/>
      <x:c r="G35" s="130"/>
      <x:c r="H35" s="130"/>
    </x:row>
    <x:row r="36" ht="13" customHeight="1"/>
    <x:row r="37" ht="38" customHeight="1">
      <x:c r="A37" s="91" t="str">
        <x:v>05  |  AWS Identity &amp; Access Governance and Security Baseline</x:v>
      </x:c>
      <x:c r="B37" s="91"/>
      <x:c r="C37" s="91"/>
      <x:c r="D37" s="91"/>
      <x:c r="E37" s="91"/>
      <x:c r="F37" s="91"/>
      <x:c r="G37" s="91"/>
      <x:c r="H37" s="91"/>
    </x:row>
    <x:row r="38" ht="44" customHeight="1">
      <x:c r="A38" s="95" t="str">
        <x:v>รายละเอียดโดยย่อ</x:v>
      </x:c>
      <x:c r="B38" s="95"/>
      <x:c r="C38" s="100" t="str">
        <x:v>ประเมินและยกระดับมาตรฐาน AWS Identity &amp; Access Governance สำหรับบัญชีที่ตกลง</x:v>
      </x:c>
      <x:c r="D38" s="100"/>
      <x:c r="E38" s="100"/>
      <x:c r="F38" s="100"/>
      <x:c r="G38" s="100"/>
      <x:c r="H38" s="100"/>
    </x:row>
    <x:row r="39" ht="58" customHeight="1">
      <x:c r="A39" s="95" t="str">
        <x:v>Scope</x:v>
      </x:c>
      <x:c r="B39" s="95"/>
      <x:c r="C39" s="100" t="str">
        <x:v>ทบทวน Federation/Identity Center, IAM Role &amp; Permission Set, MFA, SCP, Break-glass และ Access Review พร้อมปรับใช้ Priority Controls ที่อนุมัติ</x:v>
      </x:c>
      <x:c r="D39" s="100"/>
      <x:c r="E39" s="100"/>
      <x:c r="F39" s="100"/>
      <x:c r="G39" s="100"/>
      <x:c r="H39" s="100"/>
    </x:row>
    <x:row r="40" ht="110" customHeight="1">
      <x:c r="A40" s="95" t="str">
        <x:v>รายการที่จะทำ</x:v>
      </x:c>
      <x:c r="B40" s="95"/>
      <x:c r="C40" s="100" t="str">
        <x:v>1. Review AWS Organization/Account และ Existing IAM  (1 วัน)
2. ออกแบบ IAM Standard, Federation, Roles และ Guardrails  (2 วัน)
3. Implement Priority Controls บน Accounts ที่ตกลง  (2 วัน)
4. Validate Access และส่งมอบ Governance Runbook  (1 วัน)</x:v>
      </x:c>
      <x:c r="D40" s="100"/>
      <x:c r="E40" s="100"/>
      <x:c r="F40" s="100"/>
      <x:c r="G40" s="100"/>
      <x:c r="H40" s="100"/>
    </x:row>
    <x:row r="41" ht="45" customHeight="1">
      <x:c r="A41" s="95" t="str">
        <x:v>Deliverables</x:v>
      </x:c>
      <x:c r="B41" s="95"/>
      <x:c r="C41" s="100" t="str">
        <x:v>AWS IAM Baseline, Priority Finding List, Applied Control Evidence และ Governance Guide</x:v>
      </x:c>
      <x:c r="D41" s="100"/>
      <x:c r="E41" s="100"/>
      <x:c r="F41" s="100"/>
      <x:c r="G41" s="100"/>
      <x:c r="H41" s="100"/>
    </x:row>
    <x:row r="42" ht="34" customHeight="1">
      <x:c r="A42" s="116" t="str">
        <x:v>ระยะเวลา (Effort)</x:v>
      </x:c>
      <x:c r="B42" s="116"/>
      <x:c r="C42" s="116" t="str">
        <x:v>6 Man-days</x:v>
      </x:c>
      <x:c r="D42" s="116"/>
      <x:c r="E42" s="116"/>
      <x:c r="F42" s="116" t="str">
        <x:v>งบประมาณ</x:v>
      </x:c>
      <x:c r="G42" s="116" t="str">
        <x:v>120,000 บาท</x:v>
      </x:c>
      <x:c r="H42" s="116"/>
    </x:row>
    <x:row r="43" ht="57" customHeight="1">
      <x:c r="A43" s="106" t="str">
        <x:v>ข้อจำกัด / เงื่อนไข</x:v>
      </x:c>
      <x:c r="B43" s="106"/>
      <x:c r="C43" s="111" t="str">
        <x:v>การเปลี่ยน SCP/Role ต้องทดสอบผลกระทบและรับอนุมัติ; ไม่รวมการปรับสิทธิ์ทุก Account</x:v>
      </x:c>
      <x:c r="D43" s="111"/>
      <x:c r="E43" s="111"/>
      <x:c r="F43" s="111"/>
      <x:c r="G43" s="111"/>
      <x:c r="H43" s="111"/>
    </x:row>
    <x:row r="44" ht="13" customHeight="1"/>
    <x:row r="45" ht="38" customHeight="1">
      <x:c r="A45" s="120" t="str">
        <x:v>06  |  Microsoft 365 Security Baseline &amp; Secure Score Improvement</x:v>
      </x:c>
      <x:c r="B45" s="120"/>
      <x:c r="C45" s="120"/>
      <x:c r="D45" s="120"/>
      <x:c r="E45" s="120"/>
      <x:c r="F45" s="120"/>
      <x:c r="G45" s="120"/>
      <x:c r="H45" s="120"/>
    </x:row>
    <x:row r="46" ht="44" customHeight="1">
      <x:c r="A46" s="95" t="str">
        <x:v>รายละเอียดโดยย่อ</x:v>
      </x:c>
      <x:c r="B46" s="95"/>
      <x:c r="C46" s="124" t="str">
        <x:v>ประเมิน Security Baseline ของ Microsoft 365 และปรับปรุง Controls ที่มีผลต่อความเสี่ยงและ Secure Score</x:v>
      </x:c>
      <x:c r="D46" s="124"/>
      <x:c r="E46" s="124"/>
      <x:c r="F46" s="124"/>
      <x:c r="G46" s="124"/>
      <x:c r="H46" s="124"/>
    </x:row>
    <x:row r="47" ht="58" customHeight="1">
      <x:c r="A47" s="95" t="str">
        <x:v>Scope</x:v>
      </x:c>
      <x:c r="B47" s="95"/>
      <x:c r="C47" s="124" t="str">
        <x:v>ครอบคลุมการตั้งค่า Entra, Exchange Online, SharePoint/Teams และ Defender ตามสิทธิ์ใช้งานที่มี พร้อม Remediation ที่อนุมัติและ Exception Register</x:v>
      </x:c>
      <x:c r="D47" s="124"/>
      <x:c r="E47" s="124"/>
      <x:c r="F47" s="124"/>
      <x:c r="G47" s="124"/>
      <x:c r="H47" s="124"/>
    </x:row>
    <x:row r="48" ht="110" customHeight="1">
      <x:c r="A48" s="95" t="str">
        <x:v>รายการที่จะทำ</x:v>
      </x:c>
      <x:c r="B48" s="95"/>
      <x:c r="C48" s="124" t="str">
        <x:v>1. Assess Tenant Configuration, Licensing และ Secure Score  (1 วัน)
2. จัดลำดับ Security Gaps และเลือก Priority Controls  (1 วัน)
3. Implement Remediation ที่ตกลง  (2 วัน)
4. Validate Configuration และจัดทำ Remaining Roadmap  (1 วัน)</x:v>
      </x:c>
      <x:c r="D48" s="124"/>
      <x:c r="E48" s="124"/>
      <x:c r="F48" s="124"/>
      <x:c r="G48" s="124"/>
      <x:c r="H48" s="124"/>
    </x:row>
    <x:row r="49" ht="45" customHeight="1">
      <x:c r="A49" s="95" t="str">
        <x:v>Deliverables</x:v>
      </x:c>
      <x:c r="B49" s="95"/>
      <x:c r="C49" s="124" t="str">
        <x:v>Security Gap Assessment, Remediation Record, Secure Score Snapshot และ Exception Register</x:v>
      </x:c>
      <x:c r="D49" s="124"/>
      <x:c r="E49" s="124"/>
      <x:c r="F49" s="124"/>
      <x:c r="G49" s="124"/>
      <x:c r="H49" s="124"/>
    </x:row>
    <x:row r="50" ht="34" customHeight="1">
      <x:c r="A50" s="116" t="str">
        <x:v>ระยะเวลา (Effort)</x:v>
      </x:c>
      <x:c r="B50" s="116"/>
      <x:c r="C50" s="116" t="str">
        <x:v>5 Man-days</x:v>
      </x:c>
      <x:c r="D50" s="116"/>
      <x:c r="E50" s="116"/>
      <x:c r="F50" s="116" t="str">
        <x:v>งบประมาณ</x:v>
      </x:c>
      <x:c r="G50" s="116" t="str">
        <x:v>100,000 บาท</x:v>
      </x:c>
      <x:c r="H50" s="116"/>
    </x:row>
    <x:row r="51" ht="57" customHeight="1">
      <x:c r="A51" s="106" t="str">
        <x:v>ข้อจำกัด / เงื่อนไข</x:v>
      </x:c>
      <x:c r="B51" s="106"/>
      <x:c r="C51" s="130" t="str">
        <x:v>เป้าหมาย Secure Score 75–80% เป็น KPI ที่ขึ้นกับคะแนนเริ่มต้น License และสิทธิ์อนุมัติ ไม่รับประกันภายใน 5 วัน</x:v>
      </x:c>
      <x:c r="D51" s="130"/>
      <x:c r="E51" s="130"/>
      <x:c r="F51" s="130"/>
      <x:c r="G51" s="130"/>
      <x:c r="H51" s="130"/>
    </x:row>
    <x:row r="52" ht="13" customHeight="1"/>
    <x:row r="53" ht="38" customHeight="1">
      <x:c r="A53" s="91" t="str">
        <x:v>07  |  Microsoft 365 Zero Trust – Regulatory &amp; Compliance Readiness (Swim lane 5)</x:v>
      </x:c>
      <x:c r="B53" s="91"/>
      <x:c r="C53" s="91"/>
      <x:c r="D53" s="91"/>
      <x:c r="E53" s="91"/>
      <x:c r="F53" s="91"/>
      <x:c r="G53" s="91"/>
      <x:c r="H53" s="91"/>
    </x:row>
    <x:row r="54" ht="44" customHeight="1">
      <x:c r="A54" s="95" t="str">
        <x:v>รายละเอียดโดยย่อ</x:v>
      </x:c>
      <x:c r="B54" s="95"/>
      <x:c r="C54" s="100" t="str">
        <x:v>ประเมินความพร้อมด้าน Data Governance และ Compliance บน Microsoft 365/Purview</x:v>
      </x:c>
      <x:c r="D54" s="100"/>
      <x:c r="E54" s="100"/>
      <x:c r="F54" s="100"/>
      <x:c r="G54" s="100"/>
      <x:c r="H54" s="100"/>
    </x:row>
    <x:row r="55" ht="58" customHeight="1">
      <x:c r="A55" s="95" t="str">
        <x:v>Scope</x:v>
      </x:c>
      <x:c r="B55" s="95"/>
      <x:c r="C55" s="100" t="str">
        <x:v>Review Information Protection, Retention, Audit, Records และ eDiscovery เทียบกับข้อกำหนดที่ลูกค้าระบุ พร้อมแก้ไข Controls ลำดับสำคัญเฉพาะขอบเขตที่อนุมัติ</x:v>
      </x:c>
      <x:c r="D55" s="100"/>
      <x:c r="E55" s="100"/>
      <x:c r="F55" s="100"/>
      <x:c r="G55" s="100"/>
      <x:c r="H55" s="100"/>
    </x:row>
    <x:row r="56" ht="126" customHeight="1">
      <x:c r="A56" s="95" t="str">
        <x:v>รายการที่จะทำ</x:v>
      </x:c>
      <x:c r="B56" s="95"/>
      <x:c r="C56" s="100" t="str">
        <x:v>1. กำหนด Requirement และ Control Scope ร่วมกับทีม Compliance  (1 วัน)
2. Review Purview Capabilities และ Current Settings  (1.5 วัน)
3. จัดทำ Gap Analysis และ Prioritized Controls  (1 วัน)
4. Implement/Pilot Priority Controls ที่ตกลง  (1.5 วัน)
5. Validate และส่งมอบ Compliance Remediation Roadmap  (1 วัน)</x:v>
      </x:c>
      <x:c r="D56" s="100"/>
      <x:c r="E56" s="100"/>
      <x:c r="F56" s="100"/>
      <x:c r="G56" s="100"/>
      <x:c r="H56" s="100"/>
    </x:row>
    <x:row r="57" ht="45" customHeight="1">
      <x:c r="A57" s="95" t="str">
        <x:v>Deliverables</x:v>
      </x:c>
      <x:c r="B57" s="95"/>
      <x:c r="C57" s="100" t="str">
        <x:v>Compliance Gap Matrix, Control Evidence, Pilot Configuration และ Remediation Roadmap</x:v>
      </x:c>
      <x:c r="D57" s="100"/>
      <x:c r="E57" s="100"/>
      <x:c r="F57" s="100"/>
      <x:c r="G57" s="100"/>
      <x:c r="H57" s="100"/>
    </x:row>
    <x:row r="58" ht="34" customHeight="1">
      <x:c r="A58" s="116" t="str">
        <x:v>ระยะเวลา (Effort)</x:v>
      </x:c>
      <x:c r="B58" s="116"/>
      <x:c r="C58" s="116" t="str">
        <x:v>6 Man-days</x:v>
      </x:c>
      <x:c r="D58" s="116"/>
      <x:c r="E58" s="116"/>
      <x:c r="F58" s="116" t="str">
        <x:v>งบประมาณ</x:v>
      </x:c>
      <x:c r="G58" s="116" t="str">
        <x:v>120,000 บาท</x:v>
      </x:c>
      <x:c r="H58" s="116"/>
    </x:row>
    <x:row r="59" ht="57" customHeight="1">
      <x:c r="A59" s="106" t="str">
        <x:v>ข้อจำกัด / เงื่อนไข</x:v>
      </x:c>
      <x:c r="B59" s="106"/>
      <x:c r="C59" s="111" t="str">
        <x:v>ไม่รวม Legal Opinion/การรับรองผ่านข้อกำหนดทางกฎหมาย; การใช้ Feature ขึ้นกับ License</x:v>
      </x:c>
      <x:c r="D59" s="111"/>
      <x:c r="E59" s="111"/>
      <x:c r="F59" s="111"/>
      <x:c r="G59" s="111"/>
      <x:c r="H59" s="111"/>
    </x:row>
    <x:row r="60" ht="13" customHeight="1"/>
    <x:row r="61" ht="38" customHeight="1">
      <x:c r="A61" s="120" t="str">
        <x:v>08  |  Microsoft 365 Zero Trust – Secure AI Apps &amp; Data (Swim lane 4)</x:v>
      </x:c>
      <x:c r="B61" s="120"/>
      <x:c r="C61" s="120"/>
      <x:c r="D61" s="120"/>
      <x:c r="E61" s="120"/>
      <x:c r="F61" s="120"/>
      <x:c r="G61" s="120"/>
      <x:c r="H61" s="120"/>
    </x:row>
    <x:row r="62" ht="44" customHeight="1">
      <x:c r="A62" s="95" t="str">
        <x:v>รายละเอียดโดยย่อ</x:v>
      </x:c>
      <x:c r="B62" s="95"/>
      <x:c r="C62" s="124" t="str">
        <x:v>ประเมินและจำกัดความเสี่ยงจาก AI Apps/Copilot และการเข้าถึงข้อมูลบน Microsoft 365</x:v>
      </x:c>
      <x:c r="D62" s="124"/>
      <x:c r="E62" s="124"/>
      <x:c r="F62" s="124"/>
      <x:c r="G62" s="124"/>
      <x:c r="H62" s="124"/>
    </x:row>
    <x:row r="63" ht="58" customHeight="1">
      <x:c r="A63" s="95" t="str">
        <x:v>Scope</x:v>
      </x:c>
      <x:c r="B63" s="95"/>
      <x:c r="C63" s="124" t="str">
        <x:v>ทบทวน AI/Copilot Usage, Enterprise/OAuth Apps, Data Exposure, DLP, Sensitivity Labels และ Cloud App Controls โดย Pilot การบังคับใช้นโยบายที่เลือก</x:v>
      </x:c>
      <x:c r="D63" s="124"/>
      <x:c r="E63" s="124"/>
      <x:c r="F63" s="124"/>
      <x:c r="G63" s="124"/>
      <x:c r="H63" s="124"/>
    </x:row>
    <x:row r="64" ht="126" customHeight="1">
      <x:c r="A64" s="95" t="str">
        <x:v>รายการที่จะทำ</x:v>
      </x:c>
      <x:c r="B64" s="95"/>
      <x:c r="C64" s="124" t="str">
        <x:v>1. Discover AI Apps, Copilot Use Cases และ Data Flows  (1 วัน)
2. Assess App Permissions และ Data Exposure Risks  (1.5 วัน)
3. ออกแบบ DLP/Label/App Control Priority Policies  (1 วัน)
4. Implement/Pilot Agreed Controls  (1.5 วัน)
5. Validate และจัดทำ Usage/Security Guidance  (1 วัน)</x:v>
      </x:c>
      <x:c r="D64" s="124"/>
      <x:c r="E64" s="124"/>
      <x:c r="F64" s="124"/>
      <x:c r="G64" s="124"/>
      <x:c r="H64" s="124"/>
    </x:row>
    <x:row r="65" ht="45" customHeight="1">
      <x:c r="A65" s="95" t="str">
        <x:v>Deliverables</x:v>
      </x:c>
      <x:c r="B65" s="95"/>
      <x:c r="C65" s="124" t="str">
        <x:v>AI App/Data Risk Assessment, Policy Matrix, Pilot Control Evidence และ Action Plan</x:v>
      </x:c>
      <x:c r="D65" s="124"/>
      <x:c r="E65" s="124"/>
      <x:c r="F65" s="124"/>
      <x:c r="G65" s="124"/>
      <x:c r="H65" s="124"/>
    </x:row>
    <x:row r="66" ht="34" customHeight="1">
      <x:c r="A66" s="116" t="str">
        <x:v>ระยะเวลา (Effort)</x:v>
      </x:c>
      <x:c r="B66" s="116"/>
      <x:c r="C66" s="116" t="str">
        <x:v>6 Man-days</x:v>
      </x:c>
      <x:c r="D66" s="116"/>
      <x:c r="E66" s="116"/>
      <x:c r="F66" s="116" t="str">
        <x:v>งบประมาณ</x:v>
      </x:c>
      <x:c r="G66" s="116" t="str">
        <x:v>120,000 บาท</x:v>
      </x:c>
      <x:c r="H66" s="116"/>
    </x:row>
    <x:row r="67" ht="57" customHeight="1">
      <x:c r="A67" s="106" t="str">
        <x:v>ข้อจำกัด / เงื่อนไข</x:v>
      </x:c>
      <x:c r="B67" s="106"/>
      <x:c r="C67" s="130" t="str">
        <x:v>เน้น Assessment และ Selected Controls ไม่รวม Full Tenant Rollout; ฟีเจอร์ขึ้นกับ License</x:v>
      </x:c>
      <x:c r="D67" s="130"/>
      <x:c r="E67" s="130"/>
      <x:c r="F67" s="130"/>
      <x:c r="G67" s="130"/>
      <x:c r="H67" s="130"/>
    </x:row>
    <x:row r="68" ht="13" customHeight="1"/>
    <x:row r="69" ht="38" customHeight="1">
      <x:c r="A69" s="91" t="str">
        <x:v>09  |  Enterprise MCP Server Implementation &amp; Integration</x:v>
      </x:c>
      <x:c r="B69" s="91"/>
      <x:c r="C69" s="91"/>
      <x:c r="D69" s="91"/>
      <x:c r="E69" s="91"/>
      <x:c r="F69" s="91"/>
      <x:c r="G69" s="91"/>
      <x:c r="H69" s="91"/>
    </x:row>
    <x:row r="70" ht="44" customHeight="1">
      <x:c r="A70" s="95" t="str">
        <x:v>รายละเอียดโดยย่อ</x:v>
      </x:c>
      <x:c r="B70" s="95"/>
      <x:c r="C70" s="100" t="str">
        <x:v>ออกแบบและพัฒนา MCP Server เพื่อให้ AI Clients เรียกใช้งาน Enterprise APIs/ข้อมูลที่ได้รับอนุญาต</x:v>
      </x:c>
      <x:c r="D70" s="100"/>
      <x:c r="E70" s="100"/>
      <x:c r="F70" s="100"/>
      <x:c r="G70" s="100"/>
      <x:c r="H70" s="100"/>
    </x:row>
    <x:row r="71" ht="58" customHeight="1">
      <x:c r="A71" s="95" t="str">
        <x:v>Scope</x:v>
      </x:c>
      <x:c r="B71" s="95"/>
      <x:c r="C71" s="100" t="str">
        <x:v>สร้าง MCP Server, Tools, Authentication/Authorization, Secrets/Logging และ Deployment สำหรับ Use Case ที่ตกลง โดยใช้ Enterprise API หรือ Data Source ที่มีอยู่</x:v>
      </x:c>
      <x:c r="D71" s="100"/>
      <x:c r="E71" s="100"/>
      <x:c r="F71" s="100"/>
      <x:c r="G71" s="100"/>
      <x:c r="H71" s="100"/>
    </x:row>
    <x:row r="72" ht="126" customHeight="1">
      <x:c r="A72" s="95" t="str">
        <x:v>รายการที่จะทำ</x:v>
      </x:c>
      <x:c r="B72" s="95"/>
      <x:c r="C72" s="100" t="str">
        <x:v>1. กำหนด Use Case, Tool Contract และ API/Data Source  (1 วัน)
2. ออกแบบ MCP Architecture และ Access Control  (1 วัน)
3. พัฒนา MCP Server และ Tools ตาม Scope  (2 วัน)
4. Deploy, ตั้งค่า Logging/Secrets และ Functional/Security Test  (1.5 วัน)
5. จัดทำ Runbook และ Knowledge Transfer  (0.5 วัน)</x:v>
      </x:c>
      <x:c r="D72" s="100"/>
      <x:c r="E72" s="100"/>
      <x:c r="F72" s="100"/>
      <x:c r="G72" s="100"/>
      <x:c r="H72" s="100"/>
    </x:row>
    <x:row r="73" ht="45" customHeight="1">
      <x:c r="A73" s="95" t="str">
        <x:v>Deliverables</x:v>
      </x:c>
      <x:c r="B73" s="95"/>
      <x:c r="C73" s="100" t="str">
        <x:v>MCP Server &amp; Selected Tools, Test Evidence, Configuration/Deployment Guide</x:v>
      </x:c>
      <x:c r="D73" s="100"/>
      <x:c r="E73" s="100"/>
      <x:c r="F73" s="100"/>
      <x:c r="G73" s="100"/>
      <x:c r="H73" s="100"/>
    </x:row>
    <x:row r="74" ht="34" customHeight="1">
      <x:c r="A74" s="116" t="str">
        <x:v>ระยะเวลา (Effort)</x:v>
      </x:c>
      <x:c r="B74" s="116"/>
      <x:c r="C74" s="116" t="str">
        <x:v>6 Man-days</x:v>
      </x:c>
      <x:c r="D74" s="116"/>
      <x:c r="E74" s="116"/>
      <x:c r="F74" s="116" t="str">
        <x:v>งบประมาณ</x:v>
      </x:c>
      <x:c r="G74" s="116" t="str">
        <x:v>120,000 บาท</x:v>
      </x:c>
      <x:c r="H74" s="116"/>
    </x:row>
    <x:row r="75" ht="57" customHeight="1">
      <x:c r="A75" s="106" t="str">
        <x:v>ข้อจำกัด / เงื่อนไข</x:v>
      </x:c>
      <x:c r="B75" s="106"/>
      <x:c r="C75" s="111" t="str">
        <x:v>ประมาณการ 6 วันสำหรับ 1 Data Source/API ที่พร้อมใช้ และไม่เกิน 3 Tools; ไม่รวมสร้าง Backend API ใหม่หรือ HA</x:v>
      </x:c>
      <x:c r="D75" s="111"/>
      <x:c r="E75" s="111"/>
      <x:c r="F75" s="111"/>
      <x:c r="G75" s="111"/>
      <x:c r="H75" s="111"/>
    </x:row>
    <x:row r="76" ht="13" customHeight="1"/>
    <x:row r="77" ht="38" customHeight="1">
      <x:c r="A77" s="120" t="str">
        <x:v>10  |  Professional Support</x:v>
      </x:c>
      <x:c r="B77" s="120"/>
      <x:c r="C77" s="120"/>
      <x:c r="D77" s="120"/>
      <x:c r="E77" s="120"/>
      <x:c r="F77" s="120"/>
      <x:c r="G77" s="120"/>
      <x:c r="H77" s="120"/>
    </x:row>
    <x:row r="78" ht="44" customHeight="1">
      <x:c r="A78" s="95" t="str">
        <x:v>รายละเอียดโดยย่อ</x:v>
      </x:c>
      <x:c r="B78" s="95"/>
      <x:c r="C78" s="124" t="str">
        <x:v>บริการให้คำปรึกษาและแก้ไขปัญหาระบบ Infrastructure, Identity, Microsoft 365 และ Cloud ตามที่ร้องขอ</x:v>
      </x:c>
      <x:c r="D78" s="124"/>
      <x:c r="E78" s="124"/>
      <x:c r="F78" s="124"/>
      <x:c r="G78" s="124"/>
      <x:c r="H78" s="124"/>
    </x:row>
    <x:row r="79" ht="58" customHeight="1">
      <x:c r="A79" s="95" t="str">
        <x:v>Scope</x:v>
      </x:c>
      <x:c r="B79" s="95"/>
      <x:c r="C79" s="124" t="str">
        <x:v>Architecture/Design Review, Troubleshooting, Security Advisory, Configuration Review, Change Support, Health Check และ Knowledge Transfer ตาม Service Requests ที่ตกลง</x:v>
      </x:c>
      <x:c r="D79" s="124"/>
      <x:c r="E79" s="124"/>
      <x:c r="F79" s="124"/>
      <x:c r="G79" s="124"/>
      <x:c r="H79" s="124"/>
    </x:row>
    <x:row r="80" ht="110" customHeight="1">
      <x:c r="A80" s="95" t="str">
        <x:v>รายการที่จะทำ</x:v>
      </x:c>
      <x:c r="B80" s="95"/>
      <x:c r="C80" s="124" t="str">
        <x:v>1. รับและจัดลำดับ Service Requests
2. วิเคราะห์ Incident/Problem และให้ Technical Recommendation
3. Review/Support การเปลี่ยนแปลง Configuration
4. บันทึก Effort, ผลดำเนินงาน และ Knowledge Transfer</x:v>
      </x:c>
      <x:c r="D80" s="124"/>
      <x:c r="E80" s="124"/>
      <x:c r="F80" s="124"/>
      <x:c r="G80" s="124"/>
      <x:c r="H80" s="124"/>
    </x:row>
    <x:row r="81" ht="45" customHeight="1">
      <x:c r="A81" s="95" t="str">
        <x:v>Deliverables</x:v>
      </x:c>
      <x:c r="B81" s="95"/>
      <x:c r="C81" s="124" t="str">
        <x:v>Work Log/Time Sheet, Technical Findings และ Recommendation ตามงานที่ดำเนินการ</x:v>
      </x:c>
      <x:c r="D81" s="124"/>
      <x:c r="E81" s="124"/>
      <x:c r="F81" s="124"/>
      <x:c r="G81" s="124"/>
      <x:c r="H81" s="124"/>
    </x:row>
    <x:row r="82" ht="34" customHeight="1">
      <x:c r="A82" s="116" t="str">
        <x:v>ระยะเวลา (Effort)</x:v>
      </x:c>
      <x:c r="B82" s="116"/>
      <x:c r="C82" s="116" t="str">
        <x:v>100 ชั่วโมง</x:v>
      </x:c>
      <x:c r="D82" s="116"/>
      <x:c r="E82" s="116"/>
      <x:c r="F82" s="116" t="str">
        <x:v>งบประมาณ</x:v>
      </x:c>
      <x:c r="G82" s="116" t="str">
        <x:v>250,000 บาท</x:v>
      </x:c>
      <x:c r="H82" s="116"/>
    </x:row>
    <x:row r="83" ht="57" customHeight="1">
      <x:c r="A83" s="106" t="str">
        <x:v>ข้อจำกัด / เงื่อนไข</x:v>
      </x:c>
      <x:c r="B83" s="106"/>
      <x:c r="C83" s="130" t="str">
        <x:v>บริการตามการใช้จริงภายใน 100 ชั่วโมง (เทียบเท่า 12.5 Man-days); ไม่รวม 24×7 On-call หรือ Guaranteed SLA</x:v>
      </x:c>
      <x:c r="D83" s="130"/>
      <x:c r="E83" s="130"/>
      <x:c r="F83" s="130"/>
      <x:c r="G83" s="130"/>
      <x:c r="H83" s="130"/>
    </x:row>
    <x:row r="84" ht="13" customHeight="1"/>
  </x:sheetData>
  <x:mergeCells>
    <x:mergeCell ref="A1:H1"/>
    <x:mergeCell ref="A2:H2"/>
    <x:mergeCell ref="A3:H3"/>
    <x:mergeCell ref="A5:H5"/>
    <x:mergeCell ref="A6:B6"/>
    <x:mergeCell ref="C6:H6"/>
    <x:mergeCell ref="A7:B7"/>
    <x:mergeCell ref="C7:H7"/>
    <x:mergeCell ref="A8:B8"/>
    <x:mergeCell ref="C8:H8"/>
    <x:mergeCell ref="A9:B9"/>
    <x:mergeCell ref="C9:H9"/>
    <x:mergeCell ref="A11:B11"/>
    <x:mergeCell ref="C11:H11"/>
    <x:mergeCell ref="A10:B10"/>
    <x:mergeCell ref="C10:E10"/>
    <x:mergeCell ref="G10:H10"/>
    <x:mergeCell ref="A13:H13"/>
    <x:mergeCell ref="A14:B14"/>
    <x:mergeCell ref="C14:H14"/>
    <x:mergeCell ref="A15:B15"/>
    <x:mergeCell ref="C15:H15"/>
    <x:mergeCell ref="A16:B16"/>
    <x:mergeCell ref="C16:H16"/>
    <x:mergeCell ref="A17:B17"/>
    <x:mergeCell ref="C17:H17"/>
    <x:mergeCell ref="A19:B19"/>
    <x:mergeCell ref="C19:H19"/>
    <x:mergeCell ref="A18:B18"/>
    <x:mergeCell ref="C18:E18"/>
    <x:mergeCell ref="G18:H18"/>
    <x:mergeCell ref="A21:H21"/>
    <x:mergeCell ref="A22:B22"/>
    <x:mergeCell ref="C22:H22"/>
    <x:mergeCell ref="A23:B23"/>
    <x:mergeCell ref="C23:H23"/>
    <x:mergeCell ref="A24:B24"/>
    <x:mergeCell ref="C24:H24"/>
    <x:mergeCell ref="A25:B25"/>
    <x:mergeCell ref="C25:H25"/>
    <x:mergeCell ref="A27:B27"/>
    <x:mergeCell ref="C27:H27"/>
    <x:mergeCell ref="A26:B26"/>
    <x:mergeCell ref="C26:E26"/>
    <x:mergeCell ref="G26:H26"/>
    <x:mergeCell ref="A29:H29"/>
    <x:mergeCell ref="A30:B30"/>
    <x:mergeCell ref="C30:H30"/>
    <x:mergeCell ref="A31:B31"/>
    <x:mergeCell ref="C31:H31"/>
    <x:mergeCell ref="A32:B32"/>
    <x:mergeCell ref="C32:H32"/>
    <x:mergeCell ref="A33:B33"/>
    <x:mergeCell ref="C33:H33"/>
    <x:mergeCell ref="A35:B35"/>
    <x:mergeCell ref="C35:H35"/>
    <x:mergeCell ref="A34:B34"/>
    <x:mergeCell ref="C34:E34"/>
    <x:mergeCell ref="G34:H34"/>
    <x:mergeCell ref="A37:H37"/>
    <x:mergeCell ref="A38:B38"/>
    <x:mergeCell ref="C38:H38"/>
    <x:mergeCell ref="A39:B39"/>
    <x:mergeCell ref="C39:H39"/>
    <x:mergeCell ref="A40:B40"/>
    <x:mergeCell ref="C40:H40"/>
    <x:mergeCell ref="A41:B41"/>
    <x:mergeCell ref="C41:H41"/>
    <x:mergeCell ref="A43:B43"/>
    <x:mergeCell ref="C43:H43"/>
    <x:mergeCell ref="A42:B42"/>
    <x:mergeCell ref="C42:E42"/>
    <x:mergeCell ref="G42:H42"/>
    <x:mergeCell ref="A45:H45"/>
    <x:mergeCell ref="A46:B46"/>
    <x:mergeCell ref="C46:H46"/>
    <x:mergeCell ref="A47:B47"/>
    <x:mergeCell ref="C47:H47"/>
    <x:mergeCell ref="A48:B48"/>
    <x:mergeCell ref="C48:H48"/>
    <x:mergeCell ref="A49:B49"/>
    <x:mergeCell ref="C49:H49"/>
    <x:mergeCell ref="A51:B51"/>
    <x:mergeCell ref="C51:H51"/>
    <x:mergeCell ref="A50:B50"/>
    <x:mergeCell ref="C50:E50"/>
    <x:mergeCell ref="G50:H50"/>
    <x:mergeCell ref="A53:H53"/>
    <x:mergeCell ref="A54:B54"/>
    <x:mergeCell ref="C54:H54"/>
    <x:mergeCell ref="A55:B55"/>
    <x:mergeCell ref="C55:H55"/>
    <x:mergeCell ref="A56:B56"/>
    <x:mergeCell ref="C56:H56"/>
    <x:mergeCell ref="A57:B57"/>
    <x:mergeCell ref="C57:H57"/>
    <x:mergeCell ref="A59:B59"/>
    <x:mergeCell ref="C59:H59"/>
    <x:mergeCell ref="A58:B58"/>
    <x:mergeCell ref="C58:E58"/>
    <x:mergeCell ref="G58:H58"/>
    <x:mergeCell ref="A61:H61"/>
    <x:mergeCell ref="A62:B62"/>
    <x:mergeCell ref="C62:H62"/>
    <x:mergeCell ref="A63:B63"/>
    <x:mergeCell ref="C63:H63"/>
    <x:mergeCell ref="A64:B64"/>
    <x:mergeCell ref="C64:H64"/>
    <x:mergeCell ref="A65:B65"/>
    <x:mergeCell ref="C65:H65"/>
    <x:mergeCell ref="A67:B67"/>
    <x:mergeCell ref="C67:H67"/>
    <x:mergeCell ref="A66:B66"/>
    <x:mergeCell ref="C66:E66"/>
    <x:mergeCell ref="G66:H66"/>
    <x:mergeCell ref="A69:H69"/>
    <x:mergeCell ref="A70:B70"/>
    <x:mergeCell ref="C70:H70"/>
    <x:mergeCell ref="A71:B71"/>
    <x:mergeCell ref="C71:H71"/>
    <x:mergeCell ref="A72:B72"/>
    <x:mergeCell ref="C72:H72"/>
    <x:mergeCell ref="A73:B73"/>
    <x:mergeCell ref="C73:H73"/>
    <x:mergeCell ref="A75:B75"/>
    <x:mergeCell ref="C75:H75"/>
    <x:mergeCell ref="A74:B74"/>
    <x:mergeCell ref="C74:E74"/>
    <x:mergeCell ref="G74:H74"/>
    <x:mergeCell ref="A77:H77"/>
    <x:mergeCell ref="A78:B78"/>
    <x:mergeCell ref="C78:H78"/>
    <x:mergeCell ref="A79:B79"/>
    <x:mergeCell ref="C79:H79"/>
    <x:mergeCell ref="A80:B80"/>
    <x:mergeCell ref="C80:H80"/>
    <x:mergeCell ref="A81:B81"/>
    <x:mergeCell ref="C81:H81"/>
    <x:mergeCell ref="A83:B83"/>
    <x:mergeCell ref="C83:H83"/>
    <x:mergeCell ref="A82:B82"/>
    <x:mergeCell ref="C82:E82"/>
    <x:mergeCell ref="G82:H82"/>
  </x:mergeCells>
  <x:pageMargins left="0.7" right="0.7" top="0.75" bottom="0.75" header="0.3" footer="0.3"/>
</x:worksheet>
</file>